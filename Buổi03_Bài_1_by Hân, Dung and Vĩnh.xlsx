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-120" yWindow="-120" windowWidth="20730" windowHeight="11040" tabRatio="773" activeTab="4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8" r:id="rId6"/>
    <sheet name="Sinh viên điểm &gt;= 7" sheetId="9" r:id="rId7"/>
  </sheets>
  <definedNames>
    <definedName name="_xlnm._FilterDatabase" localSheetId="0" hidden="1">'Tổng hợp điểm'!$A$6:$K$45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7" l="1"/>
  <c r="H14" i="9"/>
  <c r="I14" i="9" s="1"/>
  <c r="G14" i="9"/>
  <c r="J14" i="9" s="1"/>
  <c r="K14" i="9" s="1"/>
  <c r="F14" i="9"/>
  <c r="E14" i="9"/>
  <c r="D14" i="9"/>
  <c r="C14" i="9"/>
  <c r="H13" i="9"/>
  <c r="I13" i="9" s="1"/>
  <c r="G13" i="9"/>
  <c r="J13" i="9" s="1"/>
  <c r="K13" i="9" s="1"/>
  <c r="F13" i="9"/>
  <c r="E13" i="9"/>
  <c r="D13" i="9"/>
  <c r="C13" i="9"/>
  <c r="H12" i="9"/>
  <c r="I12" i="9" s="1"/>
  <c r="G12" i="9"/>
  <c r="J12" i="9" s="1"/>
  <c r="K12" i="9" s="1"/>
  <c r="F12" i="9"/>
  <c r="E12" i="9"/>
  <c r="D12" i="9"/>
  <c r="C12" i="9"/>
  <c r="H11" i="9"/>
  <c r="I11" i="9" s="1"/>
  <c r="G11" i="9"/>
  <c r="J11" i="9" s="1"/>
  <c r="K11" i="9" s="1"/>
  <c r="F11" i="9"/>
  <c r="E11" i="9"/>
  <c r="D11" i="9"/>
  <c r="C11" i="9"/>
  <c r="I10" i="9"/>
  <c r="H10" i="9"/>
  <c r="G10" i="9"/>
  <c r="J10" i="9" s="1"/>
  <c r="K10" i="9" s="1"/>
  <c r="F10" i="9"/>
  <c r="E10" i="9"/>
  <c r="D10" i="9"/>
  <c r="C10" i="9"/>
  <c r="H9" i="9"/>
  <c r="I9" i="9" s="1"/>
  <c r="J9" i="9" s="1"/>
  <c r="K9" i="9" s="1"/>
  <c r="G9" i="9"/>
  <c r="F9" i="9"/>
  <c r="E9" i="9"/>
  <c r="D9" i="9"/>
  <c r="C9" i="9"/>
  <c r="H8" i="9"/>
  <c r="I8" i="9" s="1"/>
  <c r="G8" i="9"/>
  <c r="F8" i="9"/>
  <c r="E8" i="9"/>
  <c r="D8" i="9"/>
  <c r="C8" i="9"/>
  <c r="H7" i="9"/>
  <c r="G7" i="9"/>
  <c r="F7" i="9"/>
  <c r="E7" i="9"/>
  <c r="D7" i="9"/>
  <c r="I7" i="9" s="1"/>
  <c r="C7" i="9"/>
  <c r="H6" i="9"/>
  <c r="I6" i="9" s="1"/>
  <c r="J6" i="9" s="1"/>
  <c r="K6" i="9" s="1"/>
  <c r="G6" i="9"/>
  <c r="F6" i="9"/>
  <c r="E6" i="9"/>
  <c r="D6" i="9"/>
  <c r="C6" i="9"/>
  <c r="H5" i="9"/>
  <c r="G5" i="9"/>
  <c r="F5" i="9"/>
  <c r="I5" i="9" s="1"/>
  <c r="E5" i="9"/>
  <c r="D5" i="9"/>
  <c r="C5" i="9"/>
  <c r="H4" i="9"/>
  <c r="I4" i="9" s="1"/>
  <c r="G4" i="9"/>
  <c r="F4" i="9"/>
  <c r="E4" i="9"/>
  <c r="D4" i="9"/>
  <c r="C4" i="9"/>
  <c r="H3" i="9"/>
  <c r="I3" i="9" s="1"/>
  <c r="G3" i="9"/>
  <c r="F3" i="9"/>
  <c r="E3" i="9"/>
  <c r="D3" i="9"/>
  <c r="C3" i="9"/>
  <c r="I2" i="9"/>
  <c r="H2" i="9"/>
  <c r="G2" i="9"/>
  <c r="J2" i="9" s="1"/>
  <c r="K2" i="9" s="1"/>
  <c r="F2" i="9"/>
  <c r="E2" i="9"/>
  <c r="D2" i="9"/>
  <c r="C2" i="9"/>
  <c r="H27" i="8"/>
  <c r="I27" i="8" s="1"/>
  <c r="G27" i="8"/>
  <c r="J27" i="8" s="1"/>
  <c r="K27" i="8" s="1"/>
  <c r="F27" i="8"/>
  <c r="E27" i="8"/>
  <c r="D27" i="8"/>
  <c r="C27" i="8"/>
  <c r="H26" i="8"/>
  <c r="I26" i="8" s="1"/>
  <c r="G26" i="8"/>
  <c r="F26" i="8"/>
  <c r="E26" i="8"/>
  <c r="D26" i="8"/>
  <c r="C26" i="8"/>
  <c r="H25" i="8"/>
  <c r="I25" i="8" s="1"/>
  <c r="G25" i="8"/>
  <c r="F25" i="8"/>
  <c r="E25" i="8"/>
  <c r="D25" i="8"/>
  <c r="C25" i="8"/>
  <c r="H24" i="8"/>
  <c r="I24" i="8" s="1"/>
  <c r="G24" i="8"/>
  <c r="J24" i="8" s="1"/>
  <c r="K24" i="8" s="1"/>
  <c r="F24" i="8"/>
  <c r="E24" i="8"/>
  <c r="D24" i="8"/>
  <c r="C24" i="8"/>
  <c r="H23" i="8"/>
  <c r="I23" i="8" s="1"/>
  <c r="G23" i="8"/>
  <c r="J23" i="8" s="1"/>
  <c r="K23" i="8" s="1"/>
  <c r="F23" i="8"/>
  <c r="E23" i="8"/>
  <c r="D23" i="8"/>
  <c r="C23" i="8"/>
  <c r="I22" i="8"/>
  <c r="H22" i="8"/>
  <c r="G22" i="8"/>
  <c r="J22" i="8" s="1"/>
  <c r="K22" i="8" s="1"/>
  <c r="F22" i="8"/>
  <c r="E22" i="8"/>
  <c r="D22" i="8"/>
  <c r="C22" i="8"/>
  <c r="J21" i="8"/>
  <c r="K21" i="8" s="1"/>
  <c r="I21" i="8"/>
  <c r="H21" i="8"/>
  <c r="G21" i="8"/>
  <c r="F21" i="8"/>
  <c r="E21" i="8"/>
  <c r="D21" i="8"/>
  <c r="C21" i="8"/>
  <c r="K20" i="8"/>
  <c r="J20" i="8"/>
  <c r="H20" i="8"/>
  <c r="I20" i="8" s="1"/>
  <c r="G20" i="8"/>
  <c r="F20" i="8"/>
  <c r="E20" i="8"/>
  <c r="D20" i="8"/>
  <c r="C20" i="8"/>
  <c r="H19" i="8"/>
  <c r="I19" i="8" s="1"/>
  <c r="G19" i="8"/>
  <c r="J19" i="8" s="1"/>
  <c r="K19" i="8" s="1"/>
  <c r="F19" i="8"/>
  <c r="E19" i="8"/>
  <c r="D19" i="8"/>
  <c r="C19" i="8"/>
  <c r="H18" i="8"/>
  <c r="I18" i="8" s="1"/>
  <c r="G18" i="8"/>
  <c r="J18" i="8" s="1"/>
  <c r="K18" i="8" s="1"/>
  <c r="F18" i="8"/>
  <c r="E18" i="8"/>
  <c r="D18" i="8"/>
  <c r="C18" i="8"/>
  <c r="H17" i="8"/>
  <c r="I17" i="8" s="1"/>
  <c r="G17" i="8"/>
  <c r="F17" i="8"/>
  <c r="E17" i="8"/>
  <c r="D17" i="8"/>
  <c r="C17" i="8"/>
  <c r="H16" i="8"/>
  <c r="I16" i="8" s="1"/>
  <c r="G16" i="8"/>
  <c r="J16" i="8" s="1"/>
  <c r="K16" i="8" s="1"/>
  <c r="F16" i="8"/>
  <c r="E16" i="8"/>
  <c r="D16" i="8"/>
  <c r="C16" i="8"/>
  <c r="H15" i="8"/>
  <c r="I15" i="8" s="1"/>
  <c r="G15" i="8"/>
  <c r="J15" i="8" s="1"/>
  <c r="K15" i="8" s="1"/>
  <c r="F15" i="8"/>
  <c r="E15" i="8"/>
  <c r="D15" i="8"/>
  <c r="C15" i="8"/>
  <c r="I14" i="8"/>
  <c r="H14" i="8"/>
  <c r="G14" i="8"/>
  <c r="J14" i="8" s="1"/>
  <c r="K14" i="8" s="1"/>
  <c r="F14" i="8"/>
  <c r="E14" i="8"/>
  <c r="D14" i="8"/>
  <c r="C14" i="8"/>
  <c r="J13" i="8"/>
  <c r="K13" i="8" s="1"/>
  <c r="I13" i="8"/>
  <c r="H13" i="8"/>
  <c r="G13" i="8"/>
  <c r="F13" i="8"/>
  <c r="E13" i="8"/>
  <c r="D13" i="8"/>
  <c r="C13" i="8"/>
  <c r="H12" i="8"/>
  <c r="I12" i="8" s="1"/>
  <c r="J12" i="8" s="1"/>
  <c r="K12" i="8" s="1"/>
  <c r="G12" i="8"/>
  <c r="F12" i="8"/>
  <c r="E12" i="8"/>
  <c r="D12" i="8"/>
  <c r="C12" i="8"/>
  <c r="H11" i="8"/>
  <c r="I11" i="8" s="1"/>
  <c r="G11" i="8"/>
  <c r="J11" i="8" s="1"/>
  <c r="K11" i="8" s="1"/>
  <c r="F11" i="8"/>
  <c r="E11" i="8"/>
  <c r="D11" i="8"/>
  <c r="C11" i="8"/>
  <c r="H10" i="8"/>
  <c r="I10" i="8" s="1"/>
  <c r="G10" i="8"/>
  <c r="F10" i="8"/>
  <c r="E10" i="8"/>
  <c r="D10" i="8"/>
  <c r="C10" i="8"/>
  <c r="H9" i="8"/>
  <c r="I9" i="8" s="1"/>
  <c r="G9" i="8"/>
  <c r="J9" i="8" s="1"/>
  <c r="K9" i="8" s="1"/>
  <c r="F9" i="8"/>
  <c r="E9" i="8"/>
  <c r="D9" i="8"/>
  <c r="C9" i="8"/>
  <c r="H8" i="8"/>
  <c r="I8" i="8" s="1"/>
  <c r="G8" i="8"/>
  <c r="J8" i="8" s="1"/>
  <c r="K8" i="8" s="1"/>
  <c r="F8" i="8"/>
  <c r="E8" i="8"/>
  <c r="D8" i="8"/>
  <c r="C8" i="8"/>
  <c r="H7" i="8"/>
  <c r="I7" i="8" s="1"/>
  <c r="G7" i="8"/>
  <c r="J7" i="8" s="1"/>
  <c r="K7" i="8" s="1"/>
  <c r="F7" i="8"/>
  <c r="E7" i="8"/>
  <c r="D7" i="8"/>
  <c r="C7" i="8"/>
  <c r="I6" i="8"/>
  <c r="H6" i="8"/>
  <c r="G6" i="8"/>
  <c r="J6" i="8" s="1"/>
  <c r="K6" i="8" s="1"/>
  <c r="F6" i="8"/>
  <c r="E6" i="8"/>
  <c r="D6" i="8"/>
  <c r="C6" i="8"/>
  <c r="J5" i="8"/>
  <c r="K5" i="8" s="1"/>
  <c r="I5" i="8"/>
  <c r="H5" i="8"/>
  <c r="G5" i="8"/>
  <c r="F5" i="8"/>
  <c r="E5" i="8"/>
  <c r="D5" i="8"/>
  <c r="C5" i="8"/>
  <c r="K4" i="8"/>
  <c r="J4" i="8"/>
  <c r="I4" i="8"/>
  <c r="H4" i="8"/>
  <c r="G4" i="8"/>
  <c r="F4" i="8"/>
  <c r="E4" i="8"/>
  <c r="D4" i="8"/>
  <c r="C4" i="8"/>
  <c r="H3" i="8"/>
  <c r="I3" i="8" s="1"/>
  <c r="J3" i="8" s="1"/>
  <c r="K3" i="8" s="1"/>
  <c r="G3" i="8"/>
  <c r="F3" i="8"/>
  <c r="E3" i="8"/>
  <c r="D3" i="8"/>
  <c r="C3" i="8"/>
  <c r="H2" i="8"/>
  <c r="G2" i="8"/>
  <c r="J2" i="8" s="1"/>
  <c r="K2" i="8" s="1"/>
  <c r="F2" i="8"/>
  <c r="E2" i="8"/>
  <c r="D2" i="8"/>
  <c r="I2" i="8" s="1"/>
  <c r="C2" i="8"/>
  <c r="H8" i="1"/>
  <c r="H9" i="1"/>
  <c r="H10" i="1"/>
  <c r="H11" i="1"/>
  <c r="I11" i="1" s="1"/>
  <c r="H12" i="1"/>
  <c r="H13" i="1"/>
  <c r="H14" i="1"/>
  <c r="H15" i="1"/>
  <c r="I15" i="1" s="1"/>
  <c r="H16" i="1"/>
  <c r="H17" i="1"/>
  <c r="H18" i="1"/>
  <c r="H19" i="1"/>
  <c r="I19" i="1" s="1"/>
  <c r="H20" i="1"/>
  <c r="H21" i="1"/>
  <c r="I21" i="1" s="1"/>
  <c r="H22" i="1"/>
  <c r="H23" i="1"/>
  <c r="H24" i="1"/>
  <c r="H25" i="1"/>
  <c r="I25" i="1" s="1"/>
  <c r="H26" i="1"/>
  <c r="H27" i="1"/>
  <c r="I27" i="1" s="1"/>
  <c r="H28" i="1"/>
  <c r="H29" i="1"/>
  <c r="H30" i="1"/>
  <c r="H31" i="1"/>
  <c r="H32" i="1"/>
  <c r="H33" i="1"/>
  <c r="H34" i="1"/>
  <c r="H35" i="1"/>
  <c r="I35" i="1" s="1"/>
  <c r="H36" i="1"/>
  <c r="I36" i="1" s="1"/>
  <c r="H37" i="1"/>
  <c r="H38" i="1"/>
  <c r="H39" i="1"/>
  <c r="I39" i="1" s="1"/>
  <c r="H40" i="1"/>
  <c r="H41" i="1"/>
  <c r="H42" i="1"/>
  <c r="H43" i="1"/>
  <c r="I43" i="1" s="1"/>
  <c r="H44" i="1"/>
  <c r="H45" i="1"/>
  <c r="H7" i="1"/>
  <c r="G8" i="1"/>
  <c r="G9" i="1"/>
  <c r="G10" i="1"/>
  <c r="G11" i="1"/>
  <c r="G12" i="1"/>
  <c r="G13" i="1"/>
  <c r="G14" i="1"/>
  <c r="G15" i="1"/>
  <c r="J15" i="1" s="1"/>
  <c r="G16" i="1"/>
  <c r="G17" i="1"/>
  <c r="G18" i="1"/>
  <c r="G19" i="1"/>
  <c r="G20" i="1"/>
  <c r="G21" i="1"/>
  <c r="J21" i="1" s="1"/>
  <c r="G22" i="1"/>
  <c r="G23" i="1"/>
  <c r="G24" i="1"/>
  <c r="G25" i="1"/>
  <c r="G26" i="1"/>
  <c r="G27" i="1"/>
  <c r="G28" i="1"/>
  <c r="J28" i="1" s="1"/>
  <c r="G29" i="1"/>
  <c r="G30" i="1"/>
  <c r="G31" i="1"/>
  <c r="G32" i="1"/>
  <c r="G33" i="1"/>
  <c r="G34" i="1"/>
  <c r="G35" i="1"/>
  <c r="J35" i="1" s="1"/>
  <c r="G36" i="1"/>
  <c r="J36" i="1" s="1"/>
  <c r="G37" i="1"/>
  <c r="G38" i="1"/>
  <c r="G39" i="1"/>
  <c r="J39" i="1" s="1"/>
  <c r="G40" i="1"/>
  <c r="G41" i="1"/>
  <c r="G42" i="1"/>
  <c r="G43" i="1"/>
  <c r="G44" i="1"/>
  <c r="G45" i="1"/>
  <c r="G7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7" i="1"/>
  <c r="J4" i="9" l="1"/>
  <c r="K4" i="9" s="1"/>
  <c r="J8" i="9"/>
  <c r="K8" i="9" s="1"/>
  <c r="J3" i="9"/>
  <c r="K3" i="9" s="1"/>
  <c r="J7" i="9"/>
  <c r="K7" i="9" s="1"/>
  <c r="J5" i="9"/>
  <c r="K5" i="9" s="1"/>
  <c r="J43" i="1"/>
  <c r="J27" i="1"/>
  <c r="J19" i="1"/>
  <c r="J11" i="1"/>
  <c r="I42" i="1"/>
  <c r="I34" i="1"/>
  <c r="I26" i="1"/>
  <c r="I18" i="1"/>
  <c r="J18" i="1" s="1"/>
  <c r="K18" i="1" s="1"/>
  <c r="I10" i="1"/>
  <c r="J42" i="1"/>
  <c r="J34" i="1"/>
  <c r="J26" i="1"/>
  <c r="J10" i="1"/>
  <c r="I41" i="1"/>
  <c r="I33" i="1"/>
  <c r="J33" i="1" s="1"/>
  <c r="K33" i="1" s="1"/>
  <c r="I17" i="1"/>
  <c r="I9" i="1"/>
  <c r="J9" i="1" s="1"/>
  <c r="K9" i="1" s="1"/>
  <c r="J17" i="1"/>
  <c r="I40" i="1"/>
  <c r="I32" i="1"/>
  <c r="J32" i="1" s="1"/>
  <c r="K32" i="1" s="1"/>
  <c r="I24" i="1"/>
  <c r="I16" i="1"/>
  <c r="I8" i="1"/>
  <c r="J8" i="1" s="1"/>
  <c r="K8" i="1" s="1"/>
  <c r="J40" i="1"/>
  <c r="J24" i="1"/>
  <c r="I31" i="1"/>
  <c r="J31" i="1" s="1"/>
  <c r="K31" i="1" s="1"/>
  <c r="I23" i="1"/>
  <c r="J23" i="1" s="1"/>
  <c r="I7" i="1"/>
  <c r="I38" i="1"/>
  <c r="J38" i="1" s="1"/>
  <c r="K38" i="1" s="1"/>
  <c r="I30" i="1"/>
  <c r="J30" i="1" s="1"/>
  <c r="K30" i="1" s="1"/>
  <c r="I22" i="1"/>
  <c r="I14" i="1"/>
  <c r="F24" i="7"/>
  <c r="J22" i="1"/>
  <c r="J14" i="1"/>
  <c r="K14" i="1" s="1"/>
  <c r="I45" i="1"/>
  <c r="I37" i="1"/>
  <c r="I29" i="1"/>
  <c r="I13" i="1"/>
  <c r="J13" i="1" s="1"/>
  <c r="K13" i="1" s="1"/>
  <c r="I44" i="1"/>
  <c r="J44" i="1" s="1"/>
  <c r="K44" i="1" s="1"/>
  <c r="I28" i="1"/>
  <c r="I20" i="1"/>
  <c r="J20" i="1" s="1"/>
  <c r="K20" i="1" s="1"/>
  <c r="I12" i="1"/>
  <c r="J12" i="1" s="1"/>
  <c r="K12" i="1" s="1"/>
  <c r="J10" i="8"/>
  <c r="K10" i="8" s="1"/>
  <c r="J26" i="8"/>
  <c r="K26" i="8" s="1"/>
  <c r="J25" i="8"/>
  <c r="K25" i="8" s="1"/>
  <c r="J17" i="8"/>
  <c r="K17" i="8" s="1"/>
  <c r="J45" i="1"/>
  <c r="J37" i="1"/>
  <c r="J29" i="1"/>
  <c r="K15" i="1"/>
  <c r="K21" i="1"/>
  <c r="K36" i="1"/>
  <c r="K28" i="1"/>
  <c r="J41" i="1"/>
  <c r="K41" i="1" s="1"/>
  <c r="J25" i="1"/>
  <c r="K25" i="1" s="1"/>
  <c r="K35" i="1"/>
  <c r="J16" i="1"/>
  <c r="K16" i="1" s="1"/>
  <c r="K39" i="1"/>
  <c r="K23" i="1"/>
  <c r="J7" i="1"/>
  <c r="K7" i="1" s="1"/>
  <c r="K22" i="1"/>
  <c r="K45" i="1"/>
  <c r="K37" i="1"/>
  <c r="K29" i="1"/>
  <c r="K24" i="1"/>
  <c r="K27" i="1"/>
  <c r="K19" i="1"/>
  <c r="K11" i="1"/>
  <c r="K40" i="1"/>
  <c r="K43" i="1"/>
  <c r="K42" i="1"/>
  <c r="K34" i="1"/>
  <c r="K26" i="1"/>
  <c r="K10" i="1"/>
  <c r="K17" i="1"/>
  <c r="F21" i="7" l="1"/>
  <c r="F20" i="7"/>
  <c r="F19" i="7"/>
  <c r="F18" i="7"/>
  <c r="F17" i="7"/>
  <c r="F16" i="7"/>
  <c r="F15" i="7"/>
  <c r="F14" i="7"/>
</calcChain>
</file>

<file path=xl/sharedStrings.xml><?xml version="1.0" encoding="utf-8"?>
<sst xmlns="http://schemas.openxmlformats.org/spreadsheetml/2006/main" count="483" uniqueCount="162">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</sst>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328612</xdr:colOff>
      <xdr:row>9</xdr:row>
      <xdr:rowOff>180975</xdr:rowOff>
    </xdr:from>
    <xdr:to>
      <xdr:col>10</xdr:col>
      <xdr:colOff>338137</xdr:colOff>
      <xdr:row>23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K45"/>
  <sheetViews>
    <sheetView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K45" sqref="A6:K45"/>
    </sheetView>
  </sheetViews>
  <sheetFormatPr defaultColWidth="15.6640625" defaultRowHeight="15.75" x14ac:dyDescent="0.2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25" x14ac:dyDescent="0.2">
      <c r="A1" s="11"/>
      <c r="B1" s="26" t="s">
        <v>13</v>
      </c>
      <c r="C1" s="26"/>
      <c r="D1" s="26"/>
      <c r="E1" s="26"/>
      <c r="F1" s="26"/>
      <c r="G1" s="26"/>
      <c r="H1" s="26"/>
      <c r="I1" s="11"/>
      <c r="J1" s="11"/>
      <c r="K1" s="11"/>
    </row>
    <row r="2" spans="1:11" x14ac:dyDescent="0.2">
      <c r="A2" s="11"/>
      <c r="B2" s="12" t="s">
        <v>0</v>
      </c>
      <c r="C2" s="12">
        <v>1043</v>
      </c>
      <c r="D2" s="27" t="s">
        <v>1</v>
      </c>
      <c r="E2" s="27"/>
      <c r="F2" s="27" t="s">
        <v>2</v>
      </c>
      <c r="G2" s="27"/>
      <c r="H2" s="27"/>
      <c r="I2" s="11"/>
      <c r="J2" s="11"/>
      <c r="K2" s="11"/>
    </row>
    <row r="3" spans="1:11" x14ac:dyDescent="0.2">
      <c r="A3" s="11"/>
      <c r="B3" s="12" t="s">
        <v>3</v>
      </c>
      <c r="C3" s="12" t="s">
        <v>4</v>
      </c>
      <c r="D3" s="27" t="s">
        <v>5</v>
      </c>
      <c r="E3" s="27"/>
      <c r="F3" s="27">
        <v>8</v>
      </c>
      <c r="G3" s="27"/>
      <c r="H3" s="27"/>
      <c r="I3" s="11"/>
      <c r="J3" s="11"/>
      <c r="K3" s="11"/>
    </row>
    <row r="4" spans="1:11" x14ac:dyDescent="0.2">
      <c r="A4" s="11"/>
      <c r="B4" s="12" t="s">
        <v>6</v>
      </c>
      <c r="C4" s="12" t="s">
        <v>7</v>
      </c>
      <c r="D4" s="27" t="s">
        <v>8</v>
      </c>
      <c r="E4" s="27"/>
      <c r="F4" s="27">
        <v>1</v>
      </c>
      <c r="G4" s="27"/>
      <c r="H4" s="27"/>
      <c r="I4" s="11"/>
      <c r="J4" s="11"/>
      <c r="K4" s="11"/>
    </row>
    <row r="5" spans="1:1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1.5" x14ac:dyDescent="0.2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hidden="1" x14ac:dyDescent="0.2">
      <c r="A7" s="8">
        <v>1</v>
      </c>
      <c r="B7" s="16" t="s">
        <v>20</v>
      </c>
      <c r="C7" s="16" t="str">
        <f>VLOOKUP(RIGHT(B7,8),'Các bảng tham chiếu &amp; Thống kê'!$B$14:$C$52,2,0)</f>
        <v>Nguyễn Phước Hiếu</v>
      </c>
      <c r="D7" s="13">
        <f>VLOOKUP(RIGHT(B7,8),'Điểm thực hành các buổi'!$B$3:$D$41,3,0)</f>
        <v>0.45</v>
      </c>
      <c r="E7" s="13">
        <f>VLOOKUP(RIGHT(B7,8),'Điểm thực hành các buổi'!$B$3:$F$41,4,0)</f>
        <v>0.25</v>
      </c>
      <c r="F7" s="13">
        <f>VLOOKUP(RIGHT(B7,8),'Điểm thực hành các buổi'!$B$3:$F$41,5,0)</f>
        <v>0.3</v>
      </c>
      <c r="G7" s="13">
        <f>VLOOKUP(RIGHT(B7,8),'Điểm bài tập lớn'!$B$3:$F$41,3,0)</f>
        <v>0.5</v>
      </c>
      <c r="H7" s="13">
        <f>VLOOKUP(RIGHT(B7,8),'Điểm lý thuyết'!$B$3:$F$41,3,0)</f>
        <v>4.2</v>
      </c>
      <c r="I7" s="13">
        <f>ROUND(IF(H7 = -3,0,SUM(D7:G7)+0.6*H7),1)</f>
        <v>4</v>
      </c>
      <c r="J7" s="23">
        <f>IF(OR(G7 = 0,INT(LEFT(B7,1)) &gt; 2),0,ROUND(I7+VLOOKUP(INT(LEFT(B7,1)), 'Các bảng tham chiếu &amp; Thống kê'!$E$3:$F$5, 2, 0),1))</f>
        <v>5</v>
      </c>
      <c r="K7" s="13" t="str">
        <f>VLOOKUP(J7, 'Các bảng tham chiếu &amp; Thống kê'!$A$3:$B$10, 2, 1)</f>
        <v>D+</v>
      </c>
    </row>
    <row r="8" spans="1:11" hidden="1" x14ac:dyDescent="0.2">
      <c r="A8" s="8">
        <v>2</v>
      </c>
      <c r="B8" s="16" t="s">
        <v>22</v>
      </c>
      <c r="C8" s="16" t="str">
        <f>VLOOKUP(RIGHT(B8,8),'Các bảng tham chiếu &amp; Thống kê'!$B$14:$C$52,2,0)</f>
        <v>Lý Minh Trí</v>
      </c>
      <c r="D8" s="13">
        <f>VLOOKUP(RIGHT(B8,8),'Điểm thực hành các buổi'!$B$3:$D$41,3,0)</f>
        <v>0.5</v>
      </c>
      <c r="E8" s="13">
        <f>VLOOKUP(RIGHT(B8,8),'Điểm thực hành các buổi'!$B$3:$F$41,4,0)</f>
        <v>0.35</v>
      </c>
      <c r="F8" s="13">
        <f>VLOOKUP(RIGHT(B8,8),'Điểm thực hành các buổi'!$B$3:$F$41,5,0)</f>
        <v>0.4</v>
      </c>
      <c r="G8" s="13">
        <f>VLOOKUP(RIGHT(B8,8),'Điểm bài tập lớn'!$B$3:$F$41,3,0)</f>
        <v>1</v>
      </c>
      <c r="H8" s="13">
        <f>VLOOKUP(RIGHT(B8,8),'Điểm lý thuyết'!$B$3:$F$41,3,0)</f>
        <v>5.8</v>
      </c>
      <c r="I8" s="13">
        <f t="shared" ref="I8:I45" si="0">ROUND(IF(H8 = -3,0,SUM(D8:G8)+0.6*H8),1)</f>
        <v>5.7</v>
      </c>
      <c r="J8" s="23">
        <f>IF(OR(G8 = 0,INT(LEFT(B8,1)) &gt; 2),0,ROUND(I8+VLOOKUP(INT(LEFT(B8,1)), 'Các bảng tham chiếu &amp; Thống kê'!$E$3:$F$5, 2, 0),1))</f>
        <v>6.2</v>
      </c>
      <c r="K8" s="13" t="str">
        <f>VLOOKUP(J8, 'Các bảng tham chiếu &amp; Thống kê'!$A$3:$B$10, 2, 1)</f>
        <v>C</v>
      </c>
    </row>
    <row r="9" spans="1:11" hidden="1" x14ac:dyDescent="0.2">
      <c r="A9" s="8">
        <v>3</v>
      </c>
      <c r="B9" s="16" t="s">
        <v>24</v>
      </c>
      <c r="C9" s="16" t="str">
        <f>VLOOKUP(RIGHT(B9,8),'Các bảng tham chiếu &amp; Thống kê'!$B$14:$C$52,2,0)</f>
        <v>Nguyễn Kiều Mi</v>
      </c>
      <c r="D9" s="13">
        <f>VLOOKUP(RIGHT(B9,8),'Điểm thực hành các buổi'!$B$3:$D$41,3,0)</f>
        <v>0.25</v>
      </c>
      <c r="E9" s="13">
        <f>VLOOKUP(RIGHT(B9,8),'Điểm thực hành các buổi'!$B$3:$F$41,4,0)</f>
        <v>0.25</v>
      </c>
      <c r="F9" s="13">
        <f>VLOOKUP(RIGHT(B9,8),'Điểm thực hành các buổi'!$B$3:$F$41,5,0)</f>
        <v>0.3</v>
      </c>
      <c r="G9" s="13">
        <f>VLOOKUP(RIGHT(B9,8),'Điểm bài tập lớn'!$B$3:$F$41,3,0)</f>
        <v>0.5</v>
      </c>
      <c r="H9" s="13">
        <f>VLOOKUP(RIGHT(B9,8),'Điểm lý thuyết'!$B$3:$F$41,3,0)</f>
        <v>5.8</v>
      </c>
      <c r="I9" s="13">
        <f t="shared" si="0"/>
        <v>4.8</v>
      </c>
      <c r="J9" s="23">
        <f>IF(OR(G9 = 0,INT(LEFT(B9,1)) &gt; 2),0,ROUND(I9+VLOOKUP(INT(LEFT(B9,1)), 'Các bảng tham chiếu &amp; Thống kê'!$E$3:$F$5, 2, 0),1))</f>
        <v>5.8</v>
      </c>
      <c r="K9" s="13" t="str">
        <f>VLOOKUP(J9, 'Các bảng tham chiếu &amp; Thống kê'!$A$3:$B$10, 2, 1)</f>
        <v>C</v>
      </c>
    </row>
    <row r="10" spans="1:11" hidden="1" x14ac:dyDescent="0.2">
      <c r="A10" s="8">
        <v>4</v>
      </c>
      <c r="B10" s="16" t="s">
        <v>26</v>
      </c>
      <c r="C10" s="16" t="str">
        <f>VLOOKUP(RIGHT(B10,8),'Các bảng tham chiếu &amp; Thống kê'!$B$14:$C$52,2,0)</f>
        <v>Đặng Duy Linh</v>
      </c>
      <c r="D10" s="13">
        <f>VLOOKUP(RIGHT(B10,8),'Điểm thực hành các buổi'!$B$3:$D$41,3,0)</f>
        <v>0.4</v>
      </c>
      <c r="E10" s="13">
        <f>VLOOKUP(RIGHT(B10,8),'Điểm thực hành các buổi'!$B$3:$F$41,4,0)</f>
        <v>0.25</v>
      </c>
      <c r="F10" s="13">
        <f>VLOOKUP(RIGHT(B10,8),'Điểm thực hành các buổi'!$B$3:$F$41,5,0)</f>
        <v>0.35</v>
      </c>
      <c r="G10" s="13">
        <f>VLOOKUP(RIGHT(B10,8),'Điểm bài tập lớn'!$B$3:$F$41,3,0)</f>
        <v>1</v>
      </c>
      <c r="H10" s="13">
        <f>VLOOKUP(RIGHT(B10,8),'Điểm lý thuyết'!$B$3:$F$41,3,0)</f>
        <v>4.5</v>
      </c>
      <c r="I10" s="13">
        <f t="shared" si="0"/>
        <v>4.7</v>
      </c>
      <c r="J10" s="23">
        <f>IF(OR(G10 = 0,INT(LEFT(B10,1)) &gt; 2),0,ROUND(I10+VLOOKUP(INT(LEFT(B10,1)), 'Các bảng tham chiếu &amp; Thống kê'!$E$3:$F$5, 2, 0),1))</f>
        <v>5.7</v>
      </c>
      <c r="K10" s="13" t="str">
        <f>VLOOKUP(J10, 'Các bảng tham chiếu &amp; Thống kê'!$A$3:$B$10, 2, 1)</f>
        <v>C</v>
      </c>
    </row>
    <row r="11" spans="1:11" hidden="1" x14ac:dyDescent="0.2">
      <c r="A11" s="8">
        <v>5</v>
      </c>
      <c r="B11" s="16" t="s">
        <v>28</v>
      </c>
      <c r="C11" s="16" t="str">
        <f>VLOOKUP(RIGHT(B11,8),'Các bảng tham chiếu &amp; Thống kê'!$B$14:$C$52,2,0)</f>
        <v>Lê Thị Trúc Linh</v>
      </c>
      <c r="D11" s="13">
        <f>VLOOKUP(RIGHT(B11,8),'Điểm thực hành các buổi'!$B$3:$D$41,3,0)</f>
        <v>0.45</v>
      </c>
      <c r="E11" s="13">
        <f>VLOOKUP(RIGHT(B11,8),'Điểm thực hành các buổi'!$B$3:$F$41,4,0)</f>
        <v>0.4</v>
      </c>
      <c r="F11" s="13">
        <f>VLOOKUP(RIGHT(B11,8),'Điểm thực hành các buổi'!$B$3:$F$41,5,0)</f>
        <v>0.35</v>
      </c>
      <c r="G11" s="13">
        <f>VLOOKUP(RIGHT(B11,8),'Điểm bài tập lớn'!$B$3:$F$41,3,0)</f>
        <v>0.75</v>
      </c>
      <c r="H11" s="13">
        <f>VLOOKUP(RIGHT(B11,8),'Điểm lý thuyết'!$B$3:$F$41,3,0)</f>
        <v>5.5</v>
      </c>
      <c r="I11" s="13">
        <f t="shared" si="0"/>
        <v>5.3</v>
      </c>
      <c r="J11" s="23">
        <f>IF(OR(G11 = 0,INT(LEFT(B11,1)) &gt; 2),0,ROUND(I11+VLOOKUP(INT(LEFT(B11,1)), 'Các bảng tham chiếu &amp; Thống kê'!$E$3:$F$5, 2, 0),1))</f>
        <v>5.6</v>
      </c>
      <c r="K11" s="13" t="str">
        <f>VLOOKUP(J11, 'Các bảng tham chiếu &amp; Thống kê'!$A$3:$B$10, 2, 1)</f>
        <v>C</v>
      </c>
    </row>
    <row r="12" spans="1:11" x14ac:dyDescent="0.2">
      <c r="A12" s="8">
        <v>6</v>
      </c>
      <c r="B12" s="16" t="s">
        <v>30</v>
      </c>
      <c r="C12" s="16" t="str">
        <f>VLOOKUP(RIGHT(B12,8),'Các bảng tham chiếu &amp; Thống kê'!$B$14:$C$52,2,0)</f>
        <v>Phạm Thị Huỳnh Như</v>
      </c>
      <c r="D12" s="13">
        <f>VLOOKUP(RIGHT(B12,8),'Điểm thực hành các buổi'!$B$3:$D$41,3,0)</f>
        <v>0.4</v>
      </c>
      <c r="E12" s="13">
        <f>VLOOKUP(RIGHT(B12,8),'Điểm thực hành các buổi'!$B$3:$F$41,4,0)</f>
        <v>0.45</v>
      </c>
      <c r="F12" s="13">
        <f>VLOOKUP(RIGHT(B12,8),'Điểm thực hành các buổi'!$B$3:$F$41,5,0)</f>
        <v>0.5</v>
      </c>
      <c r="G12" s="13">
        <f>VLOOKUP(RIGHT(B12,8),'Điểm bài tập lớn'!$B$3:$F$41,3,0)</f>
        <v>1.2</v>
      </c>
      <c r="H12" s="13">
        <f>VLOOKUP(RIGHT(B12,8),'Điểm lý thuyết'!$B$3:$F$41,3,0)</f>
        <v>7.5</v>
      </c>
      <c r="I12" s="13">
        <f t="shared" si="0"/>
        <v>7.1</v>
      </c>
      <c r="J12" s="23">
        <f>IF(OR(G12 = 0,INT(LEFT(B12,1)) &gt; 2),0,ROUND(I12+VLOOKUP(INT(LEFT(B12,1)), 'Các bảng tham chiếu &amp; Thống kê'!$E$3:$F$5, 2, 0),1))</f>
        <v>8.1</v>
      </c>
      <c r="K12" s="13" t="str">
        <f>VLOOKUP(J12, 'Các bảng tham chiếu &amp; Thống kê'!$A$3:$B$10, 2, 1)</f>
        <v>B+</v>
      </c>
    </row>
    <row r="13" spans="1:11" hidden="1" x14ac:dyDescent="0.2">
      <c r="A13" s="8">
        <v>7</v>
      </c>
      <c r="B13" s="16" t="s">
        <v>31</v>
      </c>
      <c r="C13" s="16" t="str">
        <f>VLOOKUP(RIGHT(B13,8),'Các bảng tham chiếu &amp; Thống kê'!$B$14:$C$52,2,0)</f>
        <v>Lê Minh Thông</v>
      </c>
      <c r="D13" s="13">
        <f>VLOOKUP(RIGHT(B13,8),'Điểm thực hành các buổi'!$B$3:$D$41,3,0)</f>
        <v>0.4</v>
      </c>
      <c r="E13" s="13">
        <f>VLOOKUP(RIGHT(B13,8),'Điểm thực hành các buổi'!$B$3:$F$41,4,0)</f>
        <v>0.4</v>
      </c>
      <c r="F13" s="13">
        <f>VLOOKUP(RIGHT(B13,8),'Điểm thực hành các buổi'!$B$3:$F$41,5,0)</f>
        <v>0.4</v>
      </c>
      <c r="G13" s="13">
        <f>VLOOKUP(RIGHT(B13,8),'Điểm bài tập lớn'!$B$3:$F$41,3,0)</f>
        <v>1</v>
      </c>
      <c r="H13" s="13">
        <f>VLOOKUP(RIGHT(B13,8),'Điểm lý thuyết'!$B$3:$F$41,3,0)</f>
        <v>5.3</v>
      </c>
      <c r="I13" s="13">
        <f t="shared" si="0"/>
        <v>5.4</v>
      </c>
      <c r="J13" s="23">
        <f>IF(OR(G13 = 0,INT(LEFT(B13,1)) &gt; 2),0,ROUND(I13+VLOOKUP(INT(LEFT(B13,1)), 'Các bảng tham chiếu &amp; Thống kê'!$E$3:$F$5, 2, 0),1))</f>
        <v>6.4</v>
      </c>
      <c r="K13" s="13" t="str">
        <f>VLOOKUP(J13, 'Các bảng tham chiếu &amp; Thống kê'!$A$3:$B$10, 2, 1)</f>
        <v>C</v>
      </c>
    </row>
    <row r="14" spans="1:11" x14ac:dyDescent="0.2">
      <c r="A14" s="8">
        <v>8</v>
      </c>
      <c r="B14" s="16" t="s">
        <v>58</v>
      </c>
      <c r="C14" s="16" t="str">
        <f>VLOOKUP(RIGHT(B14,8),'Các bảng tham chiếu &amp; Thống kê'!$B$14:$C$52,2,0)</f>
        <v>Quách Thu Vân</v>
      </c>
      <c r="D14" s="13">
        <f>VLOOKUP(RIGHT(B14,8),'Điểm thực hành các buổi'!$B$3:$D$41,3,0)</f>
        <v>0.45</v>
      </c>
      <c r="E14" s="13">
        <f>VLOOKUP(RIGHT(B14,8),'Điểm thực hành các buổi'!$B$3:$F$41,4,0)</f>
        <v>0.4</v>
      </c>
      <c r="F14" s="13">
        <f>VLOOKUP(RIGHT(B14,8),'Điểm thực hành các buổi'!$B$3:$F$41,5,0)</f>
        <v>0.4</v>
      </c>
      <c r="G14" s="13">
        <f>VLOOKUP(RIGHT(B14,8),'Điểm bài tập lớn'!$B$3:$F$41,3,0)</f>
        <v>1</v>
      </c>
      <c r="H14" s="13">
        <f>VLOOKUP(RIGHT(B14,8),'Điểm lý thuyết'!$B$3:$F$41,3,0)</f>
        <v>7.7</v>
      </c>
      <c r="I14" s="13">
        <f t="shared" si="0"/>
        <v>6.9</v>
      </c>
      <c r="J14" s="23">
        <f>IF(OR(G14 = 0,INT(LEFT(B14,1)) &gt; 2),0,ROUND(I14+VLOOKUP(INT(LEFT(B14,1)), 'Các bảng tham chiếu &amp; Thống kê'!$E$3:$F$5, 2, 0),1))</f>
        <v>7.9</v>
      </c>
      <c r="K14" s="13" t="str">
        <f>VLOOKUP(J14, 'Các bảng tham chiếu &amp; Thống kê'!$A$3:$B$10, 2, 1)</f>
        <v>B</v>
      </c>
    </row>
    <row r="15" spans="1:11" hidden="1" x14ac:dyDescent="0.2">
      <c r="A15" s="8">
        <v>9</v>
      </c>
      <c r="B15" s="16" t="s">
        <v>59</v>
      </c>
      <c r="C15" s="16" t="str">
        <f>VLOOKUP(RIGHT(B15,8),'Các bảng tham chiếu &amp; Thống kê'!$B$14:$C$52,2,0)</f>
        <v>Trần Thị Kim Khoa</v>
      </c>
      <c r="D15" s="13">
        <f>VLOOKUP(RIGHT(B15,8),'Điểm thực hành các buổi'!$B$3:$D$41,3,0)</f>
        <v>0.5</v>
      </c>
      <c r="E15" s="13">
        <f>VLOOKUP(RIGHT(B15,8),'Điểm thực hành các buổi'!$B$3:$F$41,4,0)</f>
        <v>0.4</v>
      </c>
      <c r="F15" s="13">
        <f>VLOOKUP(RIGHT(B15,8),'Điểm thực hành các buổi'!$B$3:$F$41,5,0)</f>
        <v>0.4</v>
      </c>
      <c r="G15" s="13">
        <f>VLOOKUP(RIGHT(B15,8),'Điểm bài tập lớn'!$B$3:$F$41,3,0)</f>
        <v>1</v>
      </c>
      <c r="H15" s="13">
        <f>VLOOKUP(RIGHT(B15,8),'Điểm lý thuyết'!$B$3:$F$41,3,0)</f>
        <v>-3</v>
      </c>
      <c r="I15" s="13">
        <f t="shared" si="0"/>
        <v>0</v>
      </c>
      <c r="J15" s="23">
        <f>IF(OR(G15 = 0,INT(LEFT(B15,1)) &gt; 2),0,ROUND(I15+VLOOKUP(INT(LEFT(B15,1)), 'Các bảng tham chiếu &amp; Thống kê'!$E$3:$F$5, 2, 0),1))</f>
        <v>0</v>
      </c>
      <c r="K15" s="13" t="str">
        <f>VLOOKUP(J15, 'Các bảng tham chiếu &amp; Thống kê'!$A$3:$B$10, 2, 1)</f>
        <v>F</v>
      </c>
    </row>
    <row r="16" spans="1:11" hidden="1" x14ac:dyDescent="0.2">
      <c r="A16" s="8">
        <v>10</v>
      </c>
      <c r="B16" s="16" t="s">
        <v>33</v>
      </c>
      <c r="C16" s="16" t="str">
        <f>VLOOKUP(RIGHT(B16,8),'Các bảng tham chiếu &amp; Thống kê'!$B$14:$C$52,2,0)</f>
        <v>Huỳnh Thị Hồng Loan</v>
      </c>
      <c r="D16" s="13">
        <f>VLOOKUP(RIGHT(B16,8),'Điểm thực hành các buổi'!$B$3:$D$41,3,0)</f>
        <v>0.45</v>
      </c>
      <c r="E16" s="13">
        <f>VLOOKUP(RIGHT(B16,8),'Điểm thực hành các buổi'!$B$3:$F$41,4,0)</f>
        <v>0.4</v>
      </c>
      <c r="F16" s="13">
        <f>VLOOKUP(RIGHT(B16,8),'Điểm thực hành các buổi'!$B$3:$F$41,5,0)</f>
        <v>0.45</v>
      </c>
      <c r="G16" s="13">
        <f>VLOOKUP(RIGHT(B16,8),'Điểm bài tập lớn'!$B$3:$F$41,3,0)</f>
        <v>0</v>
      </c>
      <c r="H16" s="13">
        <f>VLOOKUP(RIGHT(B16,8),'Điểm lý thuyết'!$B$3:$F$41,3,0)</f>
        <v>6.8</v>
      </c>
      <c r="I16" s="13">
        <f t="shared" si="0"/>
        <v>5.4</v>
      </c>
      <c r="J16" s="23">
        <f>IF(OR(G16 = 0,INT(LEFT(B16,1)) &gt; 2),0,ROUND(I16+VLOOKUP(INT(LEFT(B16,1)), 'Các bảng tham chiếu &amp; Thống kê'!$E$3:$F$5, 2, 0),1))</f>
        <v>0</v>
      </c>
      <c r="K16" s="13" t="str">
        <f>VLOOKUP(J16, 'Các bảng tham chiếu &amp; Thống kê'!$A$3:$B$10, 2, 1)</f>
        <v>F</v>
      </c>
    </row>
    <row r="17" spans="1:11" hidden="1" x14ac:dyDescent="0.2">
      <c r="A17" s="8">
        <v>11</v>
      </c>
      <c r="B17" s="16" t="s">
        <v>34</v>
      </c>
      <c r="C17" s="16" t="str">
        <f>VLOOKUP(RIGHT(B17,8),'Các bảng tham chiếu &amp; Thống kê'!$B$14:$C$52,2,0)</f>
        <v>Trần Thị Thanh Nguyên</v>
      </c>
      <c r="D17" s="13">
        <f>VLOOKUP(RIGHT(B17,8),'Điểm thực hành các buổi'!$B$3:$D$41,3,0)</f>
        <v>0.45</v>
      </c>
      <c r="E17" s="13">
        <f>VLOOKUP(RIGHT(B17,8),'Điểm thực hành các buổi'!$B$3:$F$41,4,0)</f>
        <v>0.4</v>
      </c>
      <c r="F17" s="13">
        <f>VLOOKUP(RIGHT(B17,8),'Điểm thực hành các buổi'!$B$3:$F$41,5,0)</f>
        <v>0.4</v>
      </c>
      <c r="G17" s="13">
        <f>VLOOKUP(RIGHT(B17,8),'Điểm bài tập lớn'!$B$3:$F$41,3,0)</f>
        <v>0.75</v>
      </c>
      <c r="H17" s="13">
        <f>VLOOKUP(RIGHT(B17,8),'Điểm lý thuyết'!$B$3:$F$41,3,0)</f>
        <v>6.3</v>
      </c>
      <c r="I17" s="13">
        <f t="shared" si="0"/>
        <v>5.8</v>
      </c>
      <c r="J17" s="23">
        <f>IF(OR(G17 = 0,INT(LEFT(B17,1)) &gt; 2),0,ROUND(I17+VLOOKUP(INT(LEFT(B17,1)), 'Các bảng tham chiếu &amp; Thống kê'!$E$3:$F$5, 2, 0),1))</f>
        <v>6.8</v>
      </c>
      <c r="K17" s="13" t="str">
        <f>VLOOKUP(J17, 'Các bảng tham chiếu &amp; Thống kê'!$A$3:$B$10, 2, 1)</f>
        <v>C+</v>
      </c>
    </row>
    <row r="18" spans="1:11" x14ac:dyDescent="0.2">
      <c r="A18" s="8">
        <v>12</v>
      </c>
      <c r="B18" s="16" t="s">
        <v>35</v>
      </c>
      <c r="C18" s="16" t="str">
        <f>VLOOKUP(RIGHT(B18,8),'Các bảng tham chiếu &amp; Thống kê'!$B$14:$C$52,2,0)</f>
        <v>Nguyễn Thị Thúy Nga</v>
      </c>
      <c r="D18" s="13">
        <f>VLOOKUP(RIGHT(B18,8),'Điểm thực hành các buổi'!$B$3:$D$41,3,0)</f>
        <v>0.3</v>
      </c>
      <c r="E18" s="13">
        <f>VLOOKUP(RIGHT(B18,8),'Điểm thực hành các buổi'!$B$3:$F$41,4,0)</f>
        <v>0.5</v>
      </c>
      <c r="F18" s="13">
        <f>VLOOKUP(RIGHT(B18,8),'Điểm thực hành các buổi'!$B$3:$F$41,5,0)</f>
        <v>0.45</v>
      </c>
      <c r="G18" s="13">
        <f>VLOOKUP(RIGHT(B18,8),'Điểm bài tập lớn'!$B$3:$F$41,3,0)</f>
        <v>0.3</v>
      </c>
      <c r="H18" s="13">
        <f>VLOOKUP(RIGHT(B18,8),'Điểm lý thuyết'!$B$3:$F$41,3,0)</f>
        <v>8.3000000000000007</v>
      </c>
      <c r="I18" s="13">
        <f t="shared" si="0"/>
        <v>6.5</v>
      </c>
      <c r="J18" s="23">
        <f>IF(OR(G18 = 0,INT(LEFT(B18,1)) &gt; 2),0,ROUND(I18+VLOOKUP(INT(LEFT(B18,1)), 'Các bảng tham chiếu &amp; Thống kê'!$E$3:$F$5, 2, 0),1))</f>
        <v>7</v>
      </c>
      <c r="K18" s="13" t="str">
        <f>VLOOKUP(J18, 'Các bảng tham chiếu &amp; Thống kê'!$A$3:$B$10, 2, 1)</f>
        <v>B</v>
      </c>
    </row>
    <row r="19" spans="1:11" hidden="1" x14ac:dyDescent="0.2">
      <c r="A19" s="8">
        <v>13</v>
      </c>
      <c r="B19" s="16" t="s">
        <v>60</v>
      </c>
      <c r="C19" s="16" t="str">
        <f>VLOOKUP(RIGHT(B19,8),'Các bảng tham chiếu &amp; Thống kê'!$B$14:$C$52,2,0)</f>
        <v>Vũ Mạnh Thắng</v>
      </c>
      <c r="D19" s="13">
        <f>VLOOKUP(RIGHT(B19,8),'Điểm thực hành các buổi'!$B$3:$D$41,3,0)</f>
        <v>0.4</v>
      </c>
      <c r="E19" s="13">
        <f>VLOOKUP(RIGHT(B19,8),'Điểm thực hành các buổi'!$B$3:$F$41,4,0)</f>
        <v>0.5</v>
      </c>
      <c r="F19" s="13">
        <f>VLOOKUP(RIGHT(B19,8),'Điểm thực hành các buổi'!$B$3:$F$41,5,0)</f>
        <v>0.5</v>
      </c>
      <c r="G19" s="13">
        <f>VLOOKUP(RIGHT(B19,8),'Điểm bài tập lớn'!$B$3:$F$41,3,0)</f>
        <v>1.2</v>
      </c>
      <c r="H19" s="13">
        <f>VLOOKUP(RIGHT(B19,8),'Điểm lý thuyết'!$B$3:$F$41,3,0)</f>
        <v>5.5</v>
      </c>
      <c r="I19" s="13">
        <f t="shared" si="0"/>
        <v>5.9</v>
      </c>
      <c r="J19" s="23">
        <f>IF(OR(G19 = 0,INT(LEFT(B19,1)) &gt; 2),0,ROUND(I19+VLOOKUP(INT(LEFT(B19,1)), 'Các bảng tham chiếu &amp; Thống kê'!$E$3:$F$5, 2, 0),1))</f>
        <v>6.9</v>
      </c>
      <c r="K19" s="13" t="str">
        <f>VLOOKUP(J19, 'Các bảng tham chiếu &amp; Thống kê'!$A$3:$B$10, 2, 1)</f>
        <v>C+</v>
      </c>
    </row>
    <row r="20" spans="1:11" hidden="1" x14ac:dyDescent="0.2">
      <c r="A20" s="8">
        <v>14</v>
      </c>
      <c r="B20" s="16" t="s">
        <v>61</v>
      </c>
      <c r="C20" s="16" t="str">
        <f>VLOOKUP(RIGHT(B20,8),'Các bảng tham chiếu &amp; Thống kê'!$B$14:$C$52,2,0)</f>
        <v>Cao Ngọc Quyên</v>
      </c>
      <c r="D20" s="13">
        <f>VLOOKUP(RIGHT(B20,8),'Điểm thực hành các buổi'!$B$3:$D$41,3,0)</f>
        <v>0.5</v>
      </c>
      <c r="E20" s="13">
        <f>VLOOKUP(RIGHT(B20,8),'Điểm thực hành các buổi'!$B$3:$F$41,4,0)</f>
        <v>0.5</v>
      </c>
      <c r="F20" s="13">
        <f>VLOOKUP(RIGHT(B20,8),'Điểm thực hành các buổi'!$B$3:$F$41,5,0)</f>
        <v>0.45</v>
      </c>
      <c r="G20" s="13">
        <f>VLOOKUP(RIGHT(B20,8),'Điểm bài tập lớn'!$B$3:$F$41,3,0)</f>
        <v>0.3</v>
      </c>
      <c r="H20" s="13">
        <f>VLOOKUP(RIGHT(B20,8),'Điểm lý thuyết'!$B$3:$F$41,3,0)</f>
        <v>6</v>
      </c>
      <c r="I20" s="13">
        <f t="shared" si="0"/>
        <v>5.4</v>
      </c>
      <c r="J20" s="23">
        <f>IF(OR(G20 = 0,INT(LEFT(B20,1)) &gt; 2),0,ROUND(I20+VLOOKUP(INT(LEFT(B20,1)), 'Các bảng tham chiếu &amp; Thống kê'!$E$3:$F$5, 2, 0),1))</f>
        <v>6.4</v>
      </c>
      <c r="K20" s="13" t="str">
        <f>VLOOKUP(J20, 'Các bảng tham chiếu &amp; Thống kê'!$A$3:$B$10, 2, 1)</f>
        <v>C</v>
      </c>
    </row>
    <row r="21" spans="1:11" hidden="1" x14ac:dyDescent="0.2">
      <c r="A21" s="8">
        <v>15</v>
      </c>
      <c r="B21" s="16" t="s">
        <v>36</v>
      </c>
      <c r="C21" s="16" t="str">
        <f>VLOOKUP(RIGHT(B21,8),'Các bảng tham chiếu &amp; Thống kê'!$B$14:$C$52,2,0)</f>
        <v>Nguyễn Chí Thanh</v>
      </c>
      <c r="D21" s="13">
        <f>VLOOKUP(RIGHT(B21,8),'Điểm thực hành các buổi'!$B$3:$D$41,3,0)</f>
        <v>0.4</v>
      </c>
      <c r="E21" s="13">
        <f>VLOOKUP(RIGHT(B21,8),'Điểm thực hành các buổi'!$B$3:$F$41,4,0)</f>
        <v>0.45</v>
      </c>
      <c r="F21" s="13">
        <f>VLOOKUP(RIGHT(B21,8),'Điểm thực hành các buổi'!$B$3:$F$41,5,0)</f>
        <v>0.4</v>
      </c>
      <c r="G21" s="13">
        <f>VLOOKUP(RIGHT(B21,8),'Điểm bài tập lớn'!$B$3:$F$41,3,0)</f>
        <v>0.3</v>
      </c>
      <c r="H21" s="13">
        <f>VLOOKUP(RIGHT(B21,8),'Điểm lý thuyết'!$B$3:$F$41,3,0)</f>
        <v>-3</v>
      </c>
      <c r="I21" s="13">
        <f t="shared" si="0"/>
        <v>0</v>
      </c>
      <c r="J21" s="23">
        <f>IF(OR(G21 = 0,INT(LEFT(B21,1)) &gt; 2),0,ROUND(I21+VLOOKUP(INT(LEFT(B21,1)), 'Các bảng tham chiếu &amp; Thống kê'!$E$3:$F$5, 2, 0),1))</f>
        <v>0</v>
      </c>
      <c r="K21" s="13" t="str">
        <f>VLOOKUP(J21, 'Các bảng tham chiếu &amp; Thống kê'!$A$3:$B$10, 2, 1)</f>
        <v>F</v>
      </c>
    </row>
    <row r="22" spans="1:11" hidden="1" x14ac:dyDescent="0.2">
      <c r="A22" s="8">
        <v>16</v>
      </c>
      <c r="B22" s="16" t="s">
        <v>62</v>
      </c>
      <c r="C22" s="16" t="str">
        <f>VLOOKUP(RIGHT(B22,8),'Các bảng tham chiếu &amp; Thống kê'!$B$14:$C$52,2,0)</f>
        <v>Nguyễn Bích Ngân</v>
      </c>
      <c r="D22" s="13">
        <f>VLOOKUP(RIGHT(B22,8),'Điểm thực hành các buổi'!$B$3:$D$41,3,0)</f>
        <v>0.4</v>
      </c>
      <c r="E22" s="13">
        <f>VLOOKUP(RIGHT(B22,8),'Điểm thực hành các buổi'!$B$3:$F$41,4,0)</f>
        <v>0.45</v>
      </c>
      <c r="F22" s="13">
        <f>VLOOKUP(RIGHT(B22,8),'Điểm thực hành các buổi'!$B$3:$F$41,5,0)</f>
        <v>0.45</v>
      </c>
      <c r="G22" s="13">
        <f>VLOOKUP(RIGHT(B22,8),'Điểm bài tập lớn'!$B$3:$F$41,3,0)</f>
        <v>1</v>
      </c>
      <c r="H22" s="13">
        <f>VLOOKUP(RIGHT(B22,8),'Điểm lý thuyết'!$B$3:$F$41,3,0)</f>
        <v>5.7</v>
      </c>
      <c r="I22" s="13">
        <f t="shared" si="0"/>
        <v>5.7</v>
      </c>
      <c r="J22" s="23">
        <f>IF(OR(G22 = 0,INT(LEFT(B22,1)) &gt; 2),0,ROUND(I22+VLOOKUP(INT(LEFT(B22,1)), 'Các bảng tham chiếu &amp; Thống kê'!$E$3:$F$5, 2, 0),1))</f>
        <v>6.7</v>
      </c>
      <c r="K22" s="13" t="str">
        <f>VLOOKUP(J22, 'Các bảng tham chiếu &amp; Thống kê'!$A$3:$B$10, 2, 1)</f>
        <v>C+</v>
      </c>
    </row>
    <row r="23" spans="1:11" x14ac:dyDescent="0.2">
      <c r="A23" s="8">
        <v>17</v>
      </c>
      <c r="B23" s="16" t="s">
        <v>38</v>
      </c>
      <c r="C23" s="16" t="str">
        <f>VLOOKUP(RIGHT(B23,8),'Các bảng tham chiếu &amp; Thống kê'!$B$14:$C$52,2,0)</f>
        <v>Nguyễn Hải Anh</v>
      </c>
      <c r="D23" s="13">
        <f>VLOOKUP(RIGHT(B23,8),'Điểm thực hành các buổi'!$B$3:$D$41,3,0)</f>
        <v>0.5</v>
      </c>
      <c r="E23" s="13">
        <f>VLOOKUP(RIGHT(B23,8),'Điểm thực hành các buổi'!$B$3:$F$41,4,0)</f>
        <v>0.5</v>
      </c>
      <c r="F23" s="13">
        <f>VLOOKUP(RIGHT(B23,8),'Điểm thực hành các buổi'!$B$3:$F$41,5,0)</f>
        <v>0.45</v>
      </c>
      <c r="G23" s="13">
        <f>VLOOKUP(RIGHT(B23,8),'Điểm bài tập lớn'!$B$3:$F$41,3,0)</f>
        <v>1.5</v>
      </c>
      <c r="H23" s="13">
        <f>VLOOKUP(RIGHT(B23,8),'Điểm lý thuyết'!$B$3:$F$41,3,0)</f>
        <v>7</v>
      </c>
      <c r="I23" s="13">
        <f t="shared" si="0"/>
        <v>7.2</v>
      </c>
      <c r="J23" s="23">
        <f>IF(OR(G23 = 0,INT(LEFT(B23,1)) &gt; 2),0,ROUND(I23+VLOOKUP(INT(LEFT(B23,1)), 'Các bảng tham chiếu &amp; Thống kê'!$E$3:$F$5, 2, 0),1))</f>
        <v>7.5</v>
      </c>
      <c r="K23" s="13" t="str">
        <f>VLOOKUP(J23, 'Các bảng tham chiếu &amp; Thống kê'!$A$3:$B$10, 2, 1)</f>
        <v>B</v>
      </c>
    </row>
    <row r="24" spans="1:11" hidden="1" x14ac:dyDescent="0.2">
      <c r="A24" s="8">
        <v>18</v>
      </c>
      <c r="B24" s="16" t="s">
        <v>63</v>
      </c>
      <c r="C24" s="16" t="str">
        <f>VLOOKUP(RIGHT(B24,8),'Các bảng tham chiếu &amp; Thống kê'!$B$14:$C$52,2,0)</f>
        <v>Nguyễn Hoàng Châu</v>
      </c>
      <c r="D24" s="13">
        <f>VLOOKUP(RIGHT(B24,8),'Điểm thực hành các buổi'!$B$3:$D$41,3,0)</f>
        <v>0.4</v>
      </c>
      <c r="E24" s="13">
        <f>VLOOKUP(RIGHT(B24,8),'Điểm thực hành các buổi'!$B$3:$F$41,4,0)</f>
        <v>0.4</v>
      </c>
      <c r="F24" s="13">
        <f>VLOOKUP(RIGHT(B24,8),'Điểm thực hành các buổi'!$B$3:$F$41,5,0)</f>
        <v>0.4</v>
      </c>
      <c r="G24" s="13">
        <f>VLOOKUP(RIGHT(B24,8),'Điểm bài tập lớn'!$B$3:$F$41,3,0)</f>
        <v>0.3</v>
      </c>
      <c r="H24" s="13">
        <f>VLOOKUP(RIGHT(B24,8),'Điểm lý thuyết'!$B$3:$F$41,3,0)</f>
        <v>6.5</v>
      </c>
      <c r="I24" s="13">
        <f t="shared" si="0"/>
        <v>5.4</v>
      </c>
      <c r="J24" s="23">
        <f>IF(OR(G24 = 0,INT(LEFT(B24,1)) &gt; 2),0,ROUND(I24+VLOOKUP(INT(LEFT(B24,1)), 'Các bảng tham chiếu &amp; Thống kê'!$E$3:$F$5, 2, 0),1))</f>
        <v>6.4</v>
      </c>
      <c r="K24" s="13" t="str">
        <f>VLOOKUP(J24, 'Các bảng tham chiếu &amp; Thống kê'!$A$3:$B$10, 2, 1)</f>
        <v>C</v>
      </c>
    </row>
    <row r="25" spans="1:11" hidden="1" x14ac:dyDescent="0.2">
      <c r="A25" s="8">
        <v>19</v>
      </c>
      <c r="B25" s="16" t="s">
        <v>40</v>
      </c>
      <c r="C25" s="16" t="str">
        <f>VLOOKUP(RIGHT(B25,8),'Các bảng tham chiếu &amp; Thống kê'!$B$14:$C$52,2,0)</f>
        <v>Trần Nam Dương</v>
      </c>
      <c r="D25" s="13">
        <f>VLOOKUP(RIGHT(B25,8),'Điểm thực hành các buổi'!$B$3:$D$41,3,0)</f>
        <v>0.4</v>
      </c>
      <c r="E25" s="13">
        <f>VLOOKUP(RIGHT(B25,8),'Điểm thực hành các buổi'!$B$3:$F$41,4,0)</f>
        <v>0.4</v>
      </c>
      <c r="F25" s="13">
        <f>VLOOKUP(RIGHT(B25,8),'Điểm thực hành các buổi'!$B$3:$F$41,5,0)</f>
        <v>0.35</v>
      </c>
      <c r="G25" s="13">
        <f>VLOOKUP(RIGHT(B25,8),'Điểm bài tập lớn'!$B$3:$F$41,3,0)</f>
        <v>1.35</v>
      </c>
      <c r="H25" s="13">
        <f>VLOOKUP(RIGHT(B25,8),'Điểm lý thuyết'!$B$3:$F$41,3,0)</f>
        <v>-3</v>
      </c>
      <c r="I25" s="13">
        <f t="shared" si="0"/>
        <v>0</v>
      </c>
      <c r="J25" s="23">
        <f>IF(OR(G25 = 0,INT(LEFT(B25,1)) &gt; 2),0,ROUND(I25+VLOOKUP(INT(LEFT(B25,1)), 'Các bảng tham chiếu &amp; Thống kê'!$E$3:$F$5, 2, 0),1))</f>
        <v>0</v>
      </c>
      <c r="K25" s="13" t="str">
        <f>VLOOKUP(J25, 'Các bảng tham chiếu &amp; Thống kê'!$A$3:$B$10, 2, 1)</f>
        <v>F</v>
      </c>
    </row>
    <row r="26" spans="1:11" hidden="1" x14ac:dyDescent="0.2">
      <c r="A26" s="8">
        <v>20</v>
      </c>
      <c r="B26" s="16" t="s">
        <v>42</v>
      </c>
      <c r="C26" s="16" t="str">
        <f>VLOOKUP(RIGHT(B26,8),'Các bảng tham chiếu &amp; Thống kê'!$B$14:$C$52,2,0)</f>
        <v>Đào Nguyễn Duy Khanh</v>
      </c>
      <c r="D26" s="13">
        <f>VLOOKUP(RIGHT(B26,8),'Điểm thực hành các buổi'!$B$3:$D$41,3,0)</f>
        <v>0.35</v>
      </c>
      <c r="E26" s="13">
        <f>VLOOKUP(RIGHT(B26,8),'Điểm thực hành các buổi'!$B$3:$F$41,4,0)</f>
        <v>0.4</v>
      </c>
      <c r="F26" s="13">
        <f>VLOOKUP(RIGHT(B26,8),'Điểm thực hành các buổi'!$B$3:$F$41,5,0)</f>
        <v>0</v>
      </c>
      <c r="G26" s="13">
        <f>VLOOKUP(RIGHT(B26,8),'Điểm bài tập lớn'!$B$3:$F$41,3,0)</f>
        <v>0.85</v>
      </c>
      <c r="H26" s="13">
        <f>VLOOKUP(RIGHT(B26,8),'Điểm lý thuyết'!$B$3:$F$41,3,0)</f>
        <v>6.5</v>
      </c>
      <c r="I26" s="13">
        <f t="shared" si="0"/>
        <v>5.5</v>
      </c>
      <c r="J26" s="23">
        <f>IF(OR(G26 = 0,INT(LEFT(B26,1)) &gt; 2),0,ROUND(I26+VLOOKUP(INT(LEFT(B26,1)), 'Các bảng tham chiếu &amp; Thống kê'!$E$3:$F$5, 2, 0),1))</f>
        <v>6.5</v>
      </c>
      <c r="K26" s="13" t="str">
        <f>VLOOKUP(J26, 'Các bảng tham chiếu &amp; Thống kê'!$A$3:$B$10, 2, 1)</f>
        <v>C+</v>
      </c>
    </row>
    <row r="27" spans="1:11" x14ac:dyDescent="0.2">
      <c r="A27" s="8">
        <v>21</v>
      </c>
      <c r="B27" s="16" t="s">
        <v>64</v>
      </c>
      <c r="C27" s="16" t="str">
        <f>VLOOKUP(RIGHT(B27,8),'Các bảng tham chiếu &amp; Thống kê'!$B$14:$C$52,2,0)</f>
        <v>Ngô Hùng Vĩ</v>
      </c>
      <c r="D27" s="13">
        <f>VLOOKUP(RIGHT(B27,8),'Điểm thực hành các buổi'!$B$3:$D$41,3,0)</f>
        <v>0.5</v>
      </c>
      <c r="E27" s="13">
        <f>VLOOKUP(RIGHT(B27,8),'Điểm thực hành các buổi'!$B$3:$F$41,4,0)</f>
        <v>0.4</v>
      </c>
      <c r="F27" s="13">
        <f>VLOOKUP(RIGHT(B27,8),'Điểm thực hành các buổi'!$B$3:$F$41,5,0)</f>
        <v>0.45</v>
      </c>
      <c r="G27" s="13">
        <f>VLOOKUP(RIGHT(B27,8),'Điểm bài tập lớn'!$B$3:$F$41,3,0)</f>
        <v>1.35</v>
      </c>
      <c r="H27" s="13">
        <f>VLOOKUP(RIGHT(B27,8),'Điểm lý thuyết'!$B$3:$F$41,3,0)</f>
        <v>6.7</v>
      </c>
      <c r="I27" s="13">
        <f t="shared" si="0"/>
        <v>6.7</v>
      </c>
      <c r="J27" s="23">
        <f>IF(OR(G27 = 0,INT(LEFT(B27,1)) &gt; 2),0,ROUND(I27+VLOOKUP(INT(LEFT(B27,1)), 'Các bảng tham chiếu &amp; Thống kê'!$E$3:$F$5, 2, 0),1))</f>
        <v>7.7</v>
      </c>
      <c r="K27" s="13" t="str">
        <f>VLOOKUP(J27, 'Các bảng tham chiếu &amp; Thống kê'!$A$3:$B$10, 2, 1)</f>
        <v>B</v>
      </c>
    </row>
    <row r="28" spans="1:11" hidden="1" x14ac:dyDescent="0.2">
      <c r="A28" s="8">
        <v>22</v>
      </c>
      <c r="B28" s="16" t="s">
        <v>65</v>
      </c>
      <c r="C28" s="16" t="str">
        <f>VLOOKUP(RIGHT(B28,8),'Các bảng tham chiếu &amp; Thống kê'!$B$14:$C$52,2,0)</f>
        <v>Lê Thanh Tùng</v>
      </c>
      <c r="D28" s="13">
        <f>VLOOKUP(RIGHT(B28,8),'Điểm thực hành các buổi'!$B$3:$D$41,3,0)</f>
        <v>0.4</v>
      </c>
      <c r="E28" s="13">
        <f>VLOOKUP(RIGHT(B28,8),'Điểm thực hành các buổi'!$B$3:$F$41,4,0)</f>
        <v>0.4</v>
      </c>
      <c r="F28" s="13">
        <f>VLOOKUP(RIGHT(B28,8),'Điểm thực hành các buổi'!$B$3:$F$41,5,0)</f>
        <v>0.4</v>
      </c>
      <c r="G28" s="13">
        <f>VLOOKUP(RIGHT(B28,8),'Điểm bài tập lớn'!$B$3:$F$41,3,0)</f>
        <v>0</v>
      </c>
      <c r="H28" s="13">
        <f>VLOOKUP(RIGHT(B28,8),'Điểm lý thuyết'!$B$3:$F$41,3,0)</f>
        <v>4.5</v>
      </c>
      <c r="I28" s="13">
        <f t="shared" si="0"/>
        <v>3.9</v>
      </c>
      <c r="J28" s="23">
        <f>IF(OR(G28 = 0,INT(LEFT(B28,1)) &gt; 2),0,ROUND(I28+VLOOKUP(INT(LEFT(B28,1)), 'Các bảng tham chiếu &amp; Thống kê'!$E$3:$F$5, 2, 0),1))</f>
        <v>0</v>
      </c>
      <c r="K28" s="13" t="str">
        <f>VLOOKUP(J28, 'Các bảng tham chiếu &amp; Thống kê'!$A$3:$B$10, 2, 1)</f>
        <v>F</v>
      </c>
    </row>
    <row r="29" spans="1:11" x14ac:dyDescent="0.2">
      <c r="A29" s="8">
        <v>23</v>
      </c>
      <c r="B29" s="16" t="s">
        <v>66</v>
      </c>
      <c r="C29" s="16" t="str">
        <f>VLOOKUP(RIGHT(B29,8),'Các bảng tham chiếu &amp; Thống kê'!$B$14:$C$52,2,0)</f>
        <v>Lê Hồng Quốc Vương</v>
      </c>
      <c r="D29" s="13">
        <f>VLOOKUP(RIGHT(B29,8),'Điểm thực hành các buổi'!$B$3:$D$41,3,0)</f>
        <v>0.5</v>
      </c>
      <c r="E29" s="13">
        <f>VLOOKUP(RIGHT(B29,8),'Điểm thực hành các buổi'!$B$3:$F$41,4,0)</f>
        <v>0.5</v>
      </c>
      <c r="F29" s="13">
        <f>VLOOKUP(RIGHT(B29,8),'Điểm thực hành các buổi'!$B$3:$F$41,5,0)</f>
        <v>0.5</v>
      </c>
      <c r="G29" s="13">
        <f>VLOOKUP(RIGHT(B29,8),'Điểm bài tập lớn'!$B$3:$F$41,3,0)</f>
        <v>1.5</v>
      </c>
      <c r="H29" s="13">
        <f>VLOOKUP(RIGHT(B29,8),'Điểm lý thuyết'!$B$3:$F$41,3,0)</f>
        <v>7.5</v>
      </c>
      <c r="I29" s="13">
        <f t="shared" si="0"/>
        <v>7.5</v>
      </c>
      <c r="J29" s="23">
        <f>IF(OR(G29 = 0,INT(LEFT(B29,1)) &gt; 2),0,ROUND(I29+VLOOKUP(INT(LEFT(B29,1)), 'Các bảng tham chiếu &amp; Thống kê'!$E$3:$F$5, 2, 0),1))</f>
        <v>8.5</v>
      </c>
      <c r="K29" s="13" t="str">
        <f>VLOOKUP(J29, 'Các bảng tham chiếu &amp; Thống kê'!$A$3:$B$10, 2, 1)</f>
        <v>B+</v>
      </c>
    </row>
    <row r="30" spans="1:11" x14ac:dyDescent="0.2">
      <c r="A30" s="8">
        <v>24</v>
      </c>
      <c r="B30" s="16" t="s">
        <v>67</v>
      </c>
      <c r="C30" s="16" t="str">
        <f>VLOOKUP(RIGHT(B30,8),'Các bảng tham chiếu &amp; Thống kê'!$B$14:$C$52,2,0)</f>
        <v>Huỳnh Hoàng Ẩn</v>
      </c>
      <c r="D30" s="13">
        <f>VLOOKUP(RIGHT(B30,8),'Điểm thực hành các buổi'!$B$3:$D$41,3,0)</f>
        <v>0.45</v>
      </c>
      <c r="E30" s="13">
        <f>VLOOKUP(RIGHT(B30,8),'Điểm thực hành các buổi'!$B$3:$F$41,4,0)</f>
        <v>0.3</v>
      </c>
      <c r="F30" s="13">
        <f>VLOOKUP(RIGHT(B30,8),'Điểm thực hành các buổi'!$B$3:$F$41,5,0)</f>
        <v>0.45</v>
      </c>
      <c r="G30" s="13">
        <f>VLOOKUP(RIGHT(B30,8),'Điểm bài tập lớn'!$B$3:$F$41,3,0)</f>
        <v>1.2</v>
      </c>
      <c r="H30" s="13">
        <f>VLOOKUP(RIGHT(B30,8),'Điểm lý thuyết'!$B$3:$F$41,3,0)</f>
        <v>8.8000000000000007</v>
      </c>
      <c r="I30" s="13">
        <f t="shared" si="0"/>
        <v>7.7</v>
      </c>
      <c r="J30" s="23">
        <f>IF(OR(G30 = 0,INT(LEFT(B30,1)) &gt; 2),0,ROUND(I30+VLOOKUP(INT(LEFT(B30,1)), 'Các bảng tham chiếu &amp; Thống kê'!$E$3:$F$5, 2, 0),1))</f>
        <v>8</v>
      </c>
      <c r="K30" s="13" t="str">
        <f>VLOOKUP(J30, 'Các bảng tham chiếu &amp; Thống kê'!$A$3:$B$10, 2, 1)</f>
        <v>B+</v>
      </c>
    </row>
    <row r="31" spans="1:11" hidden="1" x14ac:dyDescent="0.2">
      <c r="A31" s="8">
        <v>25</v>
      </c>
      <c r="B31" s="16" t="s">
        <v>68</v>
      </c>
      <c r="C31" s="16" t="str">
        <f>VLOOKUP(RIGHT(B31,8),'Các bảng tham chiếu &amp; Thống kê'!$B$14:$C$52,2,0)</f>
        <v>Hồ Thị Mỷ Huyền</v>
      </c>
      <c r="D31" s="13">
        <f>VLOOKUP(RIGHT(B31,8),'Điểm thực hành các buổi'!$B$3:$D$41,3,0)</f>
        <v>0.3</v>
      </c>
      <c r="E31" s="13">
        <f>VLOOKUP(RIGHT(B31,8),'Điểm thực hành các buổi'!$B$3:$F$41,4,0)</f>
        <v>0.3</v>
      </c>
      <c r="F31" s="13">
        <f>VLOOKUP(RIGHT(B31,8),'Điểm thực hành các buổi'!$B$3:$F$41,5,0)</f>
        <v>0.4</v>
      </c>
      <c r="G31" s="13">
        <f>VLOOKUP(RIGHT(B31,8),'Điểm bài tập lớn'!$B$3:$F$41,3,0)</f>
        <v>0.75</v>
      </c>
      <c r="H31" s="13">
        <f>VLOOKUP(RIGHT(B31,8),'Điểm lý thuyết'!$B$3:$F$41,3,0)</f>
        <v>6.8</v>
      </c>
      <c r="I31" s="13">
        <f t="shared" si="0"/>
        <v>5.8</v>
      </c>
      <c r="J31" s="23">
        <f>IF(OR(G31 = 0,INT(LEFT(B31,1)) &gt; 2),0,ROUND(I31+VLOOKUP(INT(LEFT(B31,1)), 'Các bảng tham chiếu &amp; Thống kê'!$E$3:$F$5, 2, 0),1))</f>
        <v>6.3</v>
      </c>
      <c r="K31" s="13" t="str">
        <f>VLOOKUP(J31, 'Các bảng tham chiếu &amp; Thống kê'!$A$3:$B$10, 2, 1)</f>
        <v>C</v>
      </c>
    </row>
    <row r="32" spans="1:11" x14ac:dyDescent="0.2">
      <c r="A32" s="8">
        <v>26</v>
      </c>
      <c r="B32" s="16" t="s">
        <v>69</v>
      </c>
      <c r="C32" s="16" t="str">
        <f>VLOOKUP(RIGHT(B32,8),'Các bảng tham chiếu &amp; Thống kê'!$B$14:$C$52,2,0)</f>
        <v>Đặng Trung Kiên</v>
      </c>
      <c r="D32" s="13">
        <f>VLOOKUP(RIGHT(B32,8),'Điểm thực hành các buổi'!$B$3:$D$41,3,0)</f>
        <v>0.5</v>
      </c>
      <c r="E32" s="13">
        <f>VLOOKUP(RIGHT(B32,8),'Điểm thực hành các buổi'!$B$3:$F$41,4,0)</f>
        <v>0.3</v>
      </c>
      <c r="F32" s="13">
        <f>VLOOKUP(RIGHT(B32,8),'Điểm thực hành các buổi'!$B$3:$F$41,5,0)</f>
        <v>0.45</v>
      </c>
      <c r="G32" s="13">
        <f>VLOOKUP(RIGHT(B32,8),'Điểm bài tập lớn'!$B$3:$F$41,3,0)</f>
        <v>1</v>
      </c>
      <c r="H32" s="13">
        <f>VLOOKUP(RIGHT(B32,8),'Điểm lý thuyết'!$B$3:$F$41,3,0)</f>
        <v>7.8</v>
      </c>
      <c r="I32" s="13">
        <f t="shared" si="0"/>
        <v>6.9</v>
      </c>
      <c r="J32" s="23">
        <f>IF(OR(G32 = 0,INT(LEFT(B32,1)) &gt; 2),0,ROUND(I32+VLOOKUP(INT(LEFT(B32,1)), 'Các bảng tham chiếu &amp; Thống kê'!$E$3:$F$5, 2, 0),1))</f>
        <v>7.9</v>
      </c>
      <c r="K32" s="13" t="str">
        <f>VLOOKUP(J32, 'Các bảng tham chiếu &amp; Thống kê'!$A$3:$B$10, 2, 1)</f>
        <v>B</v>
      </c>
    </row>
    <row r="33" spans="1:11" x14ac:dyDescent="0.2">
      <c r="A33" s="8">
        <v>27</v>
      </c>
      <c r="B33" s="16" t="s">
        <v>70</v>
      </c>
      <c r="C33" s="16" t="str">
        <f>VLOOKUP(RIGHT(B33,8),'Các bảng tham chiếu &amp; Thống kê'!$B$14:$C$52,2,0)</f>
        <v>Ngụy Hữu Lộc</v>
      </c>
      <c r="D33" s="13">
        <f>VLOOKUP(RIGHT(B33,8),'Điểm thực hành các buổi'!$B$3:$D$41,3,0)</f>
        <v>0.5</v>
      </c>
      <c r="E33" s="13">
        <f>VLOOKUP(RIGHT(B33,8),'Điểm thực hành các buổi'!$B$3:$F$41,4,0)</f>
        <v>0.4</v>
      </c>
      <c r="F33" s="13">
        <f>VLOOKUP(RIGHT(B33,8),'Điểm thực hành các buổi'!$B$3:$F$41,5,0)</f>
        <v>0.45</v>
      </c>
      <c r="G33" s="13">
        <f>VLOOKUP(RIGHT(B33,8),'Điểm bài tập lớn'!$B$3:$F$41,3,0)</f>
        <v>1.5</v>
      </c>
      <c r="H33" s="13">
        <f>VLOOKUP(RIGHT(B33,8),'Điểm lý thuyết'!$B$3:$F$41,3,0)</f>
        <v>8.8000000000000007</v>
      </c>
      <c r="I33" s="13">
        <f t="shared" si="0"/>
        <v>8.1</v>
      </c>
      <c r="J33" s="23">
        <f>IF(OR(G33 = 0,INT(LEFT(B33,1)) &gt; 2),0,ROUND(I33+VLOOKUP(INT(LEFT(B33,1)), 'Các bảng tham chiếu &amp; Thống kê'!$E$3:$F$5, 2, 0),1))</f>
        <v>9.1</v>
      </c>
      <c r="K33" s="13" t="str">
        <f>VLOOKUP(J33, 'Các bảng tham chiếu &amp; Thống kê'!$A$3:$B$10, 2, 1)</f>
        <v>A</v>
      </c>
    </row>
    <row r="34" spans="1:11" x14ac:dyDescent="0.2">
      <c r="A34" s="8">
        <v>28</v>
      </c>
      <c r="B34" s="16" t="s">
        <v>71</v>
      </c>
      <c r="C34" s="16" t="str">
        <f>VLOOKUP(RIGHT(B34,8),'Các bảng tham chiếu &amp; Thống kê'!$B$14:$C$52,2,0)</f>
        <v>Nguyễn Trà Mi</v>
      </c>
      <c r="D34" s="13">
        <f>VLOOKUP(RIGHT(B34,8),'Điểm thực hành các buổi'!$B$3:$D$41,3,0)</f>
        <v>0.5</v>
      </c>
      <c r="E34" s="13">
        <f>VLOOKUP(RIGHT(B34,8),'Điểm thực hành các buổi'!$B$3:$F$41,4,0)</f>
        <v>0.45</v>
      </c>
      <c r="F34" s="13">
        <f>VLOOKUP(RIGHT(B34,8),'Điểm thực hành các buổi'!$B$3:$F$41,5,0)</f>
        <v>0.45</v>
      </c>
      <c r="G34" s="13">
        <f>VLOOKUP(RIGHT(B34,8),'Điểm bài tập lớn'!$B$3:$F$41,3,0)</f>
        <v>1</v>
      </c>
      <c r="H34" s="13">
        <f>VLOOKUP(RIGHT(B34,8),'Điểm lý thuyết'!$B$3:$F$41,3,0)</f>
        <v>7.8</v>
      </c>
      <c r="I34" s="13">
        <f t="shared" si="0"/>
        <v>7.1</v>
      </c>
      <c r="J34" s="23">
        <f>IF(OR(G34 = 0,INT(LEFT(B34,1)) &gt; 2),0,ROUND(I34+VLOOKUP(INT(LEFT(B34,1)), 'Các bảng tham chiếu &amp; Thống kê'!$E$3:$F$5, 2, 0),1))</f>
        <v>8.1</v>
      </c>
      <c r="K34" s="13" t="str">
        <f>VLOOKUP(J34, 'Các bảng tham chiếu &amp; Thống kê'!$A$3:$B$10, 2, 1)</f>
        <v>B+</v>
      </c>
    </row>
    <row r="35" spans="1:11" hidden="1" x14ac:dyDescent="0.2">
      <c r="A35" s="8">
        <v>29</v>
      </c>
      <c r="B35" s="16" t="s">
        <v>43</v>
      </c>
      <c r="C35" s="16" t="str">
        <f>VLOOKUP(RIGHT(B35,8),'Các bảng tham chiếu &amp; Thống kê'!$B$14:$C$52,2,0)</f>
        <v>Lại Ngọc Hoàng Phi</v>
      </c>
      <c r="D35" s="13">
        <f>VLOOKUP(RIGHT(B35,8),'Điểm thực hành các buổi'!$B$3:$D$41,3,0)</f>
        <v>0.5</v>
      </c>
      <c r="E35" s="13">
        <f>VLOOKUP(RIGHT(B35,8),'Điểm thực hành các buổi'!$B$3:$F$41,4,0)</f>
        <v>0.5</v>
      </c>
      <c r="F35" s="13">
        <f>VLOOKUP(RIGHT(B35,8),'Điểm thực hành các buổi'!$B$3:$F$41,5,0)</f>
        <v>0.5</v>
      </c>
      <c r="G35" s="13">
        <f>VLOOKUP(RIGHT(B35,8),'Điểm bài tập lớn'!$B$3:$F$41,3,0)</f>
        <v>0</v>
      </c>
      <c r="H35" s="13">
        <f>VLOOKUP(RIGHT(B35,8),'Điểm lý thuyết'!$B$3:$F$41,3,0)</f>
        <v>7.7</v>
      </c>
      <c r="I35" s="13">
        <f t="shared" si="0"/>
        <v>6.1</v>
      </c>
      <c r="J35" s="23">
        <f>IF(OR(G35 = 0,INT(LEFT(B35,1)) &gt; 2),0,ROUND(I35+VLOOKUP(INT(LEFT(B35,1)), 'Các bảng tham chiếu &amp; Thống kê'!$E$3:$F$5, 2, 0),1))</f>
        <v>0</v>
      </c>
      <c r="K35" s="13" t="str">
        <f>VLOOKUP(J35, 'Các bảng tham chiếu &amp; Thống kê'!$A$3:$B$10, 2, 1)</f>
        <v>F</v>
      </c>
    </row>
    <row r="36" spans="1:11" hidden="1" x14ac:dyDescent="0.2">
      <c r="A36" s="8">
        <v>30</v>
      </c>
      <c r="B36" s="16" t="s">
        <v>72</v>
      </c>
      <c r="C36" s="16" t="str">
        <f>VLOOKUP(RIGHT(B36,8),'Các bảng tham chiếu &amp; Thống kê'!$B$14:$C$52,2,0)</f>
        <v>Nguyễn Khắc Minh Phúc</v>
      </c>
      <c r="D36" s="13">
        <f>VLOOKUP(RIGHT(B36,8),'Điểm thực hành các buổi'!$B$3:$D$41,3,0)</f>
        <v>0.5</v>
      </c>
      <c r="E36" s="13">
        <f>VLOOKUP(RIGHT(B36,8),'Điểm thực hành các buổi'!$B$3:$F$41,4,0)</f>
        <v>0.4</v>
      </c>
      <c r="F36" s="13">
        <f>VLOOKUP(RIGHT(B36,8),'Điểm thực hành các buổi'!$B$3:$F$41,5,0)</f>
        <v>0.45</v>
      </c>
      <c r="G36" s="13">
        <f>VLOOKUP(RIGHT(B36,8),'Điểm bài tập lớn'!$B$3:$F$41,3,0)</f>
        <v>1</v>
      </c>
      <c r="H36" s="13">
        <f>VLOOKUP(RIGHT(B36,8),'Điểm lý thuyết'!$B$3:$F$41,3,0)</f>
        <v>-3</v>
      </c>
      <c r="I36" s="13">
        <f t="shared" si="0"/>
        <v>0</v>
      </c>
      <c r="J36" s="23">
        <f>IF(OR(G36 = 0,INT(LEFT(B36,1)) &gt; 2),0,ROUND(I36+VLOOKUP(INT(LEFT(B36,1)), 'Các bảng tham chiếu &amp; Thống kê'!$E$3:$F$5, 2, 0),1))</f>
        <v>0</v>
      </c>
      <c r="K36" s="13" t="str">
        <f>VLOOKUP(J36, 'Các bảng tham chiếu &amp; Thống kê'!$A$3:$B$10, 2, 1)</f>
        <v>F</v>
      </c>
    </row>
    <row r="37" spans="1:11" x14ac:dyDescent="0.2">
      <c r="A37" s="8">
        <v>31</v>
      </c>
      <c r="B37" s="16" t="s">
        <v>73</v>
      </c>
      <c r="C37" s="16" t="str">
        <f>VLOOKUP(RIGHT(B37,8),'Các bảng tham chiếu &amp; Thống kê'!$B$14:$C$52,2,0)</f>
        <v>Trần Thị Hoàng Quyên</v>
      </c>
      <c r="D37" s="13">
        <f>VLOOKUP(RIGHT(B37,8),'Điểm thực hành các buổi'!$B$3:$D$41,3,0)</f>
        <v>0.4</v>
      </c>
      <c r="E37" s="13">
        <f>VLOOKUP(RIGHT(B37,8),'Điểm thực hành các buổi'!$B$3:$F$41,4,0)</f>
        <v>0.5</v>
      </c>
      <c r="F37" s="13">
        <f>VLOOKUP(RIGHT(B37,8),'Điểm thực hành các buổi'!$B$3:$F$41,5,0)</f>
        <v>0.5</v>
      </c>
      <c r="G37" s="13">
        <f>VLOOKUP(RIGHT(B37,8),'Điểm bài tập lớn'!$B$3:$F$41,3,0)</f>
        <v>1</v>
      </c>
      <c r="H37" s="13">
        <f>VLOOKUP(RIGHT(B37,8),'Điểm lý thuyết'!$B$3:$F$41,3,0)</f>
        <v>9.1999999999999993</v>
      </c>
      <c r="I37" s="13">
        <f t="shared" si="0"/>
        <v>7.9</v>
      </c>
      <c r="J37" s="23">
        <f>IF(OR(G37 = 0,INT(LEFT(B37,1)) &gt; 2),0,ROUND(I37+VLOOKUP(INT(LEFT(B37,1)), 'Các bảng tham chiếu &amp; Thống kê'!$E$3:$F$5, 2, 0),1))</f>
        <v>8.9</v>
      </c>
      <c r="K37" s="13" t="str">
        <f>VLOOKUP(J37, 'Các bảng tham chiếu &amp; Thống kê'!$A$3:$B$10, 2, 1)</f>
        <v>B+</v>
      </c>
    </row>
    <row r="38" spans="1:11" x14ac:dyDescent="0.2">
      <c r="A38" s="8">
        <v>32</v>
      </c>
      <c r="B38" s="16" t="s">
        <v>74</v>
      </c>
      <c r="C38" s="16" t="str">
        <f>VLOOKUP(RIGHT(B38,8),'Các bảng tham chiếu &amp; Thống kê'!$B$14:$C$52,2,0)</f>
        <v>Trương Quốc Thái</v>
      </c>
      <c r="D38" s="13">
        <f>VLOOKUP(RIGHT(B38,8),'Điểm thực hành các buổi'!$B$3:$D$41,3,0)</f>
        <v>0.4</v>
      </c>
      <c r="E38" s="13">
        <f>VLOOKUP(RIGHT(B38,8),'Điểm thực hành các buổi'!$B$3:$F$41,4,0)</f>
        <v>0.4</v>
      </c>
      <c r="F38" s="13">
        <f>VLOOKUP(RIGHT(B38,8),'Điểm thực hành các buổi'!$B$3:$F$41,5,0)</f>
        <v>0.45</v>
      </c>
      <c r="G38" s="13">
        <f>VLOOKUP(RIGHT(B38,8),'Điểm bài tập lớn'!$B$3:$F$41,3,0)</f>
        <v>1</v>
      </c>
      <c r="H38" s="13">
        <f>VLOOKUP(RIGHT(B38,8),'Điểm lý thuyết'!$B$3:$F$41,3,0)</f>
        <v>7.5</v>
      </c>
      <c r="I38" s="13">
        <f t="shared" si="0"/>
        <v>6.8</v>
      </c>
      <c r="J38" s="23">
        <f>IF(OR(G38 = 0,INT(LEFT(B38,1)) &gt; 2),0,ROUND(I38+VLOOKUP(INT(LEFT(B38,1)), 'Các bảng tham chiếu &amp; Thống kê'!$E$3:$F$5, 2, 0),1))</f>
        <v>7.8</v>
      </c>
      <c r="K38" s="13" t="str">
        <f>VLOOKUP(J38, 'Các bảng tham chiếu &amp; Thống kê'!$A$3:$B$10, 2, 1)</f>
        <v>B</v>
      </c>
    </row>
    <row r="39" spans="1:11" hidden="1" x14ac:dyDescent="0.2">
      <c r="A39" s="8">
        <v>33</v>
      </c>
      <c r="B39" s="16" t="s">
        <v>75</v>
      </c>
      <c r="C39" s="16" t="str">
        <f>VLOOKUP(RIGHT(B39,8),'Các bảng tham chiếu &amp; Thống kê'!$B$14:$C$52,2,0)</f>
        <v>Nguyễn Thị Phương Thảo</v>
      </c>
      <c r="D39" s="13">
        <f>VLOOKUP(RIGHT(B39,8),'Điểm thực hành các buổi'!$B$3:$D$41,3,0)</f>
        <v>0.4</v>
      </c>
      <c r="E39" s="13">
        <f>VLOOKUP(RIGHT(B39,8),'Điểm thực hành các buổi'!$B$3:$F$41,4,0)</f>
        <v>0.45</v>
      </c>
      <c r="F39" s="13">
        <f>VLOOKUP(RIGHT(B39,8),'Điểm thực hành các buổi'!$B$3:$F$41,5,0)</f>
        <v>0.45</v>
      </c>
      <c r="G39" s="13">
        <f>VLOOKUP(RIGHT(B39,8),'Điểm bài tập lớn'!$B$3:$F$41,3,0)</f>
        <v>1</v>
      </c>
      <c r="H39" s="13">
        <f>VLOOKUP(RIGHT(B39,8),'Điểm lý thuyết'!$B$3:$F$41,3,0)</f>
        <v>-3</v>
      </c>
      <c r="I39" s="13">
        <f t="shared" si="0"/>
        <v>0</v>
      </c>
      <c r="J39" s="23">
        <f>IF(OR(G39 = 0,INT(LEFT(B39,1)) &gt; 2),0,ROUND(I39+VLOOKUP(INT(LEFT(B39,1)), 'Các bảng tham chiếu &amp; Thống kê'!$E$3:$F$5, 2, 0),1))</f>
        <v>0</v>
      </c>
      <c r="K39" s="13" t="str">
        <f>VLOOKUP(J39, 'Các bảng tham chiếu &amp; Thống kê'!$A$3:$B$10, 2, 1)</f>
        <v>F</v>
      </c>
    </row>
    <row r="40" spans="1:11" x14ac:dyDescent="0.2">
      <c r="A40" s="8">
        <v>34</v>
      </c>
      <c r="B40" s="16" t="s">
        <v>76</v>
      </c>
      <c r="C40" s="16" t="str">
        <f>VLOOKUP(RIGHT(B40,8),'Các bảng tham chiếu &amp; Thống kê'!$B$14:$C$52,2,0)</f>
        <v>Nguyễn Chí Tôn</v>
      </c>
      <c r="D40" s="13">
        <f>VLOOKUP(RIGHT(B40,8),'Điểm thực hành các buổi'!$B$3:$D$41,3,0)</f>
        <v>0.4</v>
      </c>
      <c r="E40" s="13">
        <f>VLOOKUP(RIGHT(B40,8),'Điểm thực hành các buổi'!$B$3:$F$41,4,0)</f>
        <v>0</v>
      </c>
      <c r="F40" s="13">
        <f>VLOOKUP(RIGHT(B40,8),'Điểm thực hành các buổi'!$B$3:$F$41,5,0)</f>
        <v>0.45</v>
      </c>
      <c r="G40" s="13">
        <f>VLOOKUP(RIGHT(B40,8),'Điểm bài tập lớn'!$B$3:$F$41,3,0)</f>
        <v>0.75</v>
      </c>
      <c r="H40" s="13">
        <f>VLOOKUP(RIGHT(B40,8),'Điểm lý thuyết'!$B$3:$F$41,3,0)</f>
        <v>8.3000000000000007</v>
      </c>
      <c r="I40" s="13">
        <f t="shared" si="0"/>
        <v>6.6</v>
      </c>
      <c r="J40" s="23">
        <f>IF(OR(G40 = 0,INT(LEFT(B40,1)) &gt; 2),0,ROUND(I40+VLOOKUP(INT(LEFT(B40,1)), 'Các bảng tham chiếu &amp; Thống kê'!$E$3:$F$5, 2, 0),1))</f>
        <v>7.1</v>
      </c>
      <c r="K40" s="13" t="str">
        <f>VLOOKUP(J40, 'Các bảng tham chiếu &amp; Thống kê'!$A$3:$B$10, 2, 1)</f>
        <v>B</v>
      </c>
    </row>
    <row r="41" spans="1:11" hidden="1" x14ac:dyDescent="0.2">
      <c r="A41" s="8">
        <v>35</v>
      </c>
      <c r="B41" s="16" t="s">
        <v>77</v>
      </c>
      <c r="C41" s="16" t="str">
        <f>VLOOKUP(RIGHT(B41,8),'Các bảng tham chiếu &amp; Thống kê'!$B$14:$C$52,2,0)</f>
        <v>Trịnh Uyên</v>
      </c>
      <c r="D41" s="13">
        <f>VLOOKUP(RIGHT(B41,8),'Điểm thực hành các buổi'!$B$3:$D$41,3,0)</f>
        <v>0.5</v>
      </c>
      <c r="E41" s="13">
        <f>VLOOKUP(RIGHT(B41,8),'Điểm thực hành các buổi'!$B$3:$F$41,4,0)</f>
        <v>0</v>
      </c>
      <c r="F41" s="13">
        <f>VLOOKUP(RIGHT(B41,8),'Điểm thực hành các buổi'!$B$3:$F$41,5,0)</f>
        <v>0</v>
      </c>
      <c r="G41" s="13">
        <f>VLOOKUP(RIGHT(B41,8),'Điểm bài tập lớn'!$B$3:$F$41,3,0)</f>
        <v>0</v>
      </c>
      <c r="H41" s="13">
        <f>VLOOKUP(RIGHT(B41,8),'Điểm lý thuyết'!$B$3:$F$41,3,0)</f>
        <v>7.5</v>
      </c>
      <c r="I41" s="13">
        <f t="shared" si="0"/>
        <v>5</v>
      </c>
      <c r="J41" s="23">
        <f>IF(OR(G41 = 0,INT(LEFT(B41,1)) &gt; 2),0,ROUND(I41+VLOOKUP(INT(LEFT(B41,1)), 'Các bảng tham chiếu &amp; Thống kê'!$E$3:$F$5, 2, 0),1))</f>
        <v>0</v>
      </c>
      <c r="K41" s="13" t="str">
        <f>VLOOKUP(J41, 'Các bảng tham chiếu &amp; Thống kê'!$A$3:$B$10, 2, 1)</f>
        <v>F</v>
      </c>
    </row>
    <row r="42" spans="1:11" hidden="1" x14ac:dyDescent="0.2">
      <c r="A42" s="8">
        <v>36</v>
      </c>
      <c r="B42" s="16" t="s">
        <v>78</v>
      </c>
      <c r="C42" s="16" t="str">
        <f>VLOOKUP(RIGHT(B42,8),'Các bảng tham chiếu &amp; Thống kê'!$B$14:$C$52,2,0)</f>
        <v>Nguyễn Anh Thư</v>
      </c>
      <c r="D42" s="13">
        <f>VLOOKUP(RIGHT(B42,8),'Điểm thực hành các buổi'!$B$3:$D$41,3,0)</f>
        <v>0.5</v>
      </c>
      <c r="E42" s="13">
        <f>VLOOKUP(RIGHT(B42,8),'Điểm thực hành các buổi'!$B$3:$F$41,4,0)</f>
        <v>0.35</v>
      </c>
      <c r="F42" s="13">
        <f>VLOOKUP(RIGHT(B42,8),'Điểm thực hành các buổi'!$B$3:$F$41,5,0)</f>
        <v>0.45</v>
      </c>
      <c r="G42" s="13">
        <f>VLOOKUP(RIGHT(B42,8),'Điểm bài tập lớn'!$B$3:$F$41,3,0)</f>
        <v>0.5</v>
      </c>
      <c r="H42" s="13">
        <f>VLOOKUP(RIGHT(B42,8),'Điểm lý thuyết'!$B$3:$F$41,3,0)</f>
        <v>5.5</v>
      </c>
      <c r="I42" s="13">
        <f t="shared" si="0"/>
        <v>5.0999999999999996</v>
      </c>
      <c r="J42" s="23">
        <f>IF(OR(G42 = 0,INT(LEFT(B42,1)) &gt; 2),0,ROUND(I42+VLOOKUP(INT(LEFT(B42,1)), 'Các bảng tham chiếu &amp; Thống kê'!$E$3:$F$5, 2, 0),1))</f>
        <v>5.6</v>
      </c>
      <c r="K42" s="13" t="str">
        <f>VLOOKUP(J42, 'Các bảng tham chiếu &amp; Thống kê'!$A$3:$B$10, 2, 1)</f>
        <v>C</v>
      </c>
    </row>
    <row r="43" spans="1:11" hidden="1" x14ac:dyDescent="0.2">
      <c r="A43" s="8">
        <v>37</v>
      </c>
      <c r="B43" s="16" t="s">
        <v>79</v>
      </c>
      <c r="C43" s="16" t="str">
        <f>VLOOKUP(RIGHT(B43,8),'Các bảng tham chiếu &amp; Thống kê'!$B$14:$C$52,2,0)</f>
        <v>Huỳnh Lê Tỷ</v>
      </c>
      <c r="D43" s="13">
        <f>VLOOKUP(RIGHT(B43,8),'Điểm thực hành các buổi'!$B$3:$D$41,3,0)</f>
        <v>0.5</v>
      </c>
      <c r="E43" s="13">
        <f>VLOOKUP(RIGHT(B43,8),'Điểm thực hành các buổi'!$B$3:$F$41,4,0)</f>
        <v>0.4</v>
      </c>
      <c r="F43" s="13">
        <f>VLOOKUP(RIGHT(B43,8),'Điểm thực hành các buổi'!$B$3:$F$41,5,0)</f>
        <v>0.4</v>
      </c>
      <c r="G43" s="13">
        <f>VLOOKUP(RIGHT(B43,8),'Điểm bài tập lớn'!$B$3:$F$41,3,0)</f>
        <v>0.3</v>
      </c>
      <c r="H43" s="13">
        <f>VLOOKUP(RIGHT(B43,8),'Điểm lý thuyết'!$B$3:$F$41,3,0)</f>
        <v>6.7</v>
      </c>
      <c r="I43" s="13">
        <f t="shared" si="0"/>
        <v>5.6</v>
      </c>
      <c r="J43" s="23">
        <f>IF(OR(G43 = 0,INT(LEFT(B43,1)) &gt; 2),0,ROUND(I43+VLOOKUP(INT(LEFT(B43,1)), 'Các bảng tham chiếu &amp; Thống kê'!$E$3:$F$5, 2, 0),1))</f>
        <v>6.6</v>
      </c>
      <c r="K43" s="13" t="str">
        <f>VLOOKUP(J43, 'Các bảng tham chiếu &amp; Thống kê'!$A$3:$B$10, 2, 1)</f>
        <v>C+</v>
      </c>
    </row>
    <row r="44" spans="1:11" hidden="1" x14ac:dyDescent="0.2">
      <c r="A44" s="8">
        <v>38</v>
      </c>
      <c r="B44" s="16" t="s">
        <v>80</v>
      </c>
      <c r="C44" s="16" t="str">
        <f>VLOOKUP(RIGHT(B44,8),'Các bảng tham chiếu &amp; Thống kê'!$B$14:$C$52,2,0)</f>
        <v>Nguyễn Ngọc Luyến</v>
      </c>
      <c r="D44" s="13">
        <f>VLOOKUP(RIGHT(B44,8),'Điểm thực hành các buổi'!$B$3:$D$41,3,0)</f>
        <v>0.3</v>
      </c>
      <c r="E44" s="13">
        <f>VLOOKUP(RIGHT(B44,8),'Điểm thực hành các buổi'!$B$3:$F$41,4,0)</f>
        <v>0.4</v>
      </c>
      <c r="F44" s="13">
        <f>VLOOKUP(RIGHT(B44,8),'Điểm thực hành các buổi'!$B$3:$F$41,5,0)</f>
        <v>0.45</v>
      </c>
      <c r="G44" s="13">
        <f>VLOOKUP(RIGHT(B44,8),'Điểm bài tập lớn'!$B$3:$F$41,3,0)</f>
        <v>1</v>
      </c>
      <c r="H44" s="13">
        <f>VLOOKUP(RIGHT(B44,8),'Điểm lý thuyết'!$B$3:$F$41,3,0)</f>
        <v>5.5</v>
      </c>
      <c r="I44" s="13">
        <f t="shared" si="0"/>
        <v>5.5</v>
      </c>
      <c r="J44" s="23">
        <f>IF(OR(G44 = 0,INT(LEFT(B44,1)) &gt; 2),0,ROUND(I44+VLOOKUP(INT(LEFT(B44,1)), 'Các bảng tham chiếu &amp; Thống kê'!$E$3:$F$5, 2, 0),1))</f>
        <v>6.5</v>
      </c>
      <c r="K44" s="13" t="str">
        <f>VLOOKUP(J44, 'Các bảng tham chiếu &amp; Thống kê'!$A$3:$B$10, 2, 1)</f>
        <v>C+</v>
      </c>
    </row>
    <row r="45" spans="1:11" hidden="1" x14ac:dyDescent="0.2">
      <c r="A45" s="8">
        <v>39</v>
      </c>
      <c r="B45" s="16" t="s">
        <v>81</v>
      </c>
      <c r="C45" s="16" t="str">
        <f>VLOOKUP(RIGHT(B45,8),'Các bảng tham chiếu &amp; Thống kê'!$B$14:$C$52,2,0)</f>
        <v>Võ Thị Thùy Trang</v>
      </c>
      <c r="D45" s="13">
        <f>VLOOKUP(RIGHT(B45,8),'Điểm thực hành các buổi'!$B$3:$D$41,3,0)</f>
        <v>0.4</v>
      </c>
      <c r="E45" s="13">
        <f>VLOOKUP(RIGHT(B45,8),'Điểm thực hành các buổi'!$B$3:$F$41,4,0)</f>
        <v>0.4</v>
      </c>
      <c r="F45" s="13">
        <f>VLOOKUP(RIGHT(B45,8),'Điểm thực hành các buổi'!$B$3:$F$41,5,0)</f>
        <v>0.4</v>
      </c>
      <c r="G45" s="13">
        <f>VLOOKUP(RIGHT(B45,8),'Điểm bài tập lớn'!$B$3:$F$41,3,0)</f>
        <v>0.75</v>
      </c>
      <c r="H45" s="13">
        <f>VLOOKUP(RIGHT(B45,8),'Điểm lý thuyết'!$B$3:$F$41,3,0)</f>
        <v>3.2</v>
      </c>
      <c r="I45" s="13">
        <f t="shared" si="0"/>
        <v>3.9</v>
      </c>
      <c r="J45" s="23">
        <f>IF(OR(G45 = 0,INT(LEFT(B45,1)) &gt; 2),0,ROUND(I45+VLOOKUP(INT(LEFT(B45,1)), 'Các bảng tham chiếu &amp; Thống kê'!$E$3:$F$5, 2, 0),1))</f>
        <v>4.4000000000000004</v>
      </c>
      <c r="K45" s="13" t="str">
        <f>VLOOKUP(J45, 'Các bảng tham chiếu &amp; Thống kê'!$A$3:$B$10, 2, 1)</f>
        <v>D</v>
      </c>
    </row>
  </sheetData>
  <sheetProtection formatCells="0" formatColumns="0" formatRows="0" insertColumns="0" insertRows="0" insertHyperlinks="0" deleteColumns="0" deleteRows="0" sort="0" autoFilter="0" pivotTables="0"/>
  <autoFilter ref="A6:K45">
    <filterColumn colId="9">
      <customFilters>
        <customFilter operator="greaterThanOrEqual" val="7"/>
      </customFilters>
    </filterColumn>
  </autoFilter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44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F41"/>
  <sheetViews>
    <sheetView zoomScale="85" zoomScaleNormal="85" workbookViewId="0">
      <selection activeCell="D3" sqref="D3"/>
    </sheetView>
  </sheetViews>
  <sheetFormatPr defaultRowHeight="12.75" x14ac:dyDescent="0.2"/>
  <cols>
    <col min="1" max="1" width="7.6640625" style="18" bestFit="1" customWidth="1"/>
    <col min="2" max="2" width="16.1640625" style="17" customWidth="1"/>
    <col min="3" max="3" width="31.83203125" style="17" customWidth="1"/>
    <col min="4" max="6" width="16.6640625" style="17" bestFit="1" customWidth="1"/>
    <col min="7" max="16384" width="9.33203125" style="17"/>
  </cols>
  <sheetData>
    <row r="1" spans="1:6" ht="20.25" x14ac:dyDescent="0.2">
      <c r="A1" s="28" t="s">
        <v>159</v>
      </c>
      <c r="B1" s="29"/>
      <c r="C1" s="29"/>
      <c r="D1" s="29"/>
      <c r="E1" s="29"/>
      <c r="F1" s="29"/>
    </row>
    <row r="2" spans="1:6" ht="15.75" x14ac:dyDescent="0.2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75" x14ac:dyDescent="0.2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75" x14ac:dyDescent="0.2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75" x14ac:dyDescent="0.2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75" x14ac:dyDescent="0.2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75" x14ac:dyDescent="0.2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75" x14ac:dyDescent="0.2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75" x14ac:dyDescent="0.2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75" x14ac:dyDescent="0.2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75" x14ac:dyDescent="0.2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75" x14ac:dyDescent="0.2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75" x14ac:dyDescent="0.2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75" x14ac:dyDescent="0.2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75" x14ac:dyDescent="0.2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75" x14ac:dyDescent="0.2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75" x14ac:dyDescent="0.2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75" x14ac:dyDescent="0.2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75" x14ac:dyDescent="0.2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75" x14ac:dyDescent="0.2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75" x14ac:dyDescent="0.2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75" x14ac:dyDescent="0.2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75" x14ac:dyDescent="0.2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75" x14ac:dyDescent="0.2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75" x14ac:dyDescent="0.2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75" x14ac:dyDescent="0.2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75" x14ac:dyDescent="0.2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75" x14ac:dyDescent="0.2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75" x14ac:dyDescent="0.2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75" x14ac:dyDescent="0.2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75" x14ac:dyDescent="0.2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75" x14ac:dyDescent="0.2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75" x14ac:dyDescent="0.2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75" x14ac:dyDescent="0.2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75" x14ac:dyDescent="0.2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75" x14ac:dyDescent="0.2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75" x14ac:dyDescent="0.2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75" x14ac:dyDescent="0.2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75" x14ac:dyDescent="0.2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75" x14ac:dyDescent="0.2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75" x14ac:dyDescent="0.2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41"/>
  <sheetViews>
    <sheetView zoomScale="85" zoomScaleNormal="85" workbookViewId="0">
      <selection activeCell="D37" sqref="D37"/>
    </sheetView>
  </sheetViews>
  <sheetFormatPr defaultRowHeight="12.75" x14ac:dyDescent="0.2"/>
  <cols>
    <col min="1" max="1" width="6" style="17" bestFit="1" customWidth="1"/>
    <col min="2" max="2" width="15.1640625" style="17" customWidth="1"/>
    <col min="3" max="3" width="35.1640625" style="17" customWidth="1"/>
    <col min="4" max="4" width="19.1640625" style="17" bestFit="1" customWidth="1"/>
    <col min="5" max="16384" width="9.33203125" style="17"/>
  </cols>
  <sheetData>
    <row r="1" spans="1:4" ht="20.25" x14ac:dyDescent="0.2">
      <c r="A1" s="30" t="s">
        <v>158</v>
      </c>
      <c r="B1" s="30"/>
      <c r="C1" s="30"/>
      <c r="D1" s="30"/>
    </row>
    <row r="2" spans="1:4" ht="15.75" x14ac:dyDescent="0.2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75" x14ac:dyDescent="0.2">
      <c r="A3" s="8">
        <v>1</v>
      </c>
      <c r="B3" s="9" t="s">
        <v>115</v>
      </c>
      <c r="C3" s="16" t="s">
        <v>21</v>
      </c>
      <c r="D3" s="13">
        <v>0.5</v>
      </c>
    </row>
    <row r="4" spans="1:4" ht="15.75" x14ac:dyDescent="0.2">
      <c r="A4" s="8">
        <v>2</v>
      </c>
      <c r="B4" s="9" t="s">
        <v>116</v>
      </c>
      <c r="C4" s="16" t="s">
        <v>23</v>
      </c>
      <c r="D4" s="13">
        <v>1</v>
      </c>
    </row>
    <row r="5" spans="1:4" ht="15.75" x14ac:dyDescent="0.2">
      <c r="A5" s="8">
        <v>3</v>
      </c>
      <c r="B5" s="9" t="s">
        <v>117</v>
      </c>
      <c r="C5" s="16" t="s">
        <v>25</v>
      </c>
      <c r="D5" s="13">
        <v>0.5</v>
      </c>
    </row>
    <row r="6" spans="1:4" ht="15.75" x14ac:dyDescent="0.2">
      <c r="A6" s="8">
        <v>4</v>
      </c>
      <c r="B6" s="9" t="s">
        <v>118</v>
      </c>
      <c r="C6" s="16" t="s">
        <v>27</v>
      </c>
      <c r="D6" s="13">
        <v>1</v>
      </c>
    </row>
    <row r="7" spans="1:4" ht="15.75" x14ac:dyDescent="0.2">
      <c r="A7" s="8">
        <v>5</v>
      </c>
      <c r="B7" s="9" t="s">
        <v>119</v>
      </c>
      <c r="C7" s="16" t="s">
        <v>29</v>
      </c>
      <c r="D7" s="13">
        <v>0.75</v>
      </c>
    </row>
    <row r="8" spans="1:4" ht="15.75" x14ac:dyDescent="0.2">
      <c r="A8" s="8">
        <v>6</v>
      </c>
      <c r="B8" s="9" t="s">
        <v>120</v>
      </c>
      <c r="C8" s="16" t="s">
        <v>82</v>
      </c>
      <c r="D8" s="13">
        <v>1.2</v>
      </c>
    </row>
    <row r="9" spans="1:4" ht="15.75" x14ac:dyDescent="0.2">
      <c r="A9" s="8">
        <v>7</v>
      </c>
      <c r="B9" s="9" t="s">
        <v>121</v>
      </c>
      <c r="C9" s="16" t="s">
        <v>32</v>
      </c>
      <c r="D9" s="13">
        <v>1</v>
      </c>
    </row>
    <row r="10" spans="1:4" ht="15.75" x14ac:dyDescent="0.2">
      <c r="A10" s="8">
        <v>8</v>
      </c>
      <c r="B10" s="9" t="s">
        <v>122</v>
      </c>
      <c r="C10" s="16" t="s">
        <v>83</v>
      </c>
      <c r="D10" s="13">
        <v>1</v>
      </c>
    </row>
    <row r="11" spans="1:4" ht="15.75" x14ac:dyDescent="0.2">
      <c r="A11" s="8">
        <v>9</v>
      </c>
      <c r="B11" s="9" t="s">
        <v>123</v>
      </c>
      <c r="C11" s="16" t="s">
        <v>84</v>
      </c>
      <c r="D11" s="13">
        <v>1</v>
      </c>
    </row>
    <row r="12" spans="1:4" ht="15.75" x14ac:dyDescent="0.2">
      <c r="A12" s="8">
        <v>10</v>
      </c>
      <c r="B12" s="9" t="s">
        <v>124</v>
      </c>
      <c r="C12" s="16" t="s">
        <v>85</v>
      </c>
      <c r="D12" s="3">
        <v>0</v>
      </c>
    </row>
    <row r="13" spans="1:4" ht="15.75" x14ac:dyDescent="0.2">
      <c r="A13" s="8">
        <v>11</v>
      </c>
      <c r="B13" s="9" t="s">
        <v>125</v>
      </c>
      <c r="C13" s="16" t="s">
        <v>86</v>
      </c>
      <c r="D13" s="13">
        <v>0.75</v>
      </c>
    </row>
    <row r="14" spans="1:4" ht="15.75" x14ac:dyDescent="0.2">
      <c r="A14" s="8">
        <v>12</v>
      </c>
      <c r="B14" s="9" t="s">
        <v>126</v>
      </c>
      <c r="C14" s="16" t="s">
        <v>87</v>
      </c>
      <c r="D14" s="13">
        <v>0.3</v>
      </c>
    </row>
    <row r="15" spans="1:4" ht="15.75" x14ac:dyDescent="0.2">
      <c r="A15" s="8">
        <v>13</v>
      </c>
      <c r="B15" s="9" t="s">
        <v>127</v>
      </c>
      <c r="C15" s="16" t="s">
        <v>88</v>
      </c>
      <c r="D15" s="13">
        <v>1.2</v>
      </c>
    </row>
    <row r="16" spans="1:4" ht="15.75" x14ac:dyDescent="0.2">
      <c r="A16" s="8">
        <v>14</v>
      </c>
      <c r="B16" s="9" t="s">
        <v>128</v>
      </c>
      <c r="C16" s="16" t="s">
        <v>89</v>
      </c>
      <c r="D16" s="13">
        <v>0.3</v>
      </c>
    </row>
    <row r="17" spans="1:4" ht="15.75" x14ac:dyDescent="0.2">
      <c r="A17" s="8">
        <v>15</v>
      </c>
      <c r="B17" s="9" t="s">
        <v>129</v>
      </c>
      <c r="C17" s="16" t="s">
        <v>37</v>
      </c>
      <c r="D17" s="13">
        <v>0.3</v>
      </c>
    </row>
    <row r="18" spans="1:4" ht="15.75" x14ac:dyDescent="0.2">
      <c r="A18" s="8">
        <v>16</v>
      </c>
      <c r="B18" s="9" t="s">
        <v>130</v>
      </c>
      <c r="C18" s="16" t="s">
        <v>90</v>
      </c>
      <c r="D18" s="13">
        <v>1</v>
      </c>
    </row>
    <row r="19" spans="1:4" ht="15.75" x14ac:dyDescent="0.2">
      <c r="A19" s="8">
        <v>17</v>
      </c>
      <c r="B19" s="9" t="s">
        <v>131</v>
      </c>
      <c r="C19" s="16" t="s">
        <v>39</v>
      </c>
      <c r="D19" s="13">
        <v>1.5</v>
      </c>
    </row>
    <row r="20" spans="1:4" ht="15.75" x14ac:dyDescent="0.2">
      <c r="A20" s="8">
        <v>18</v>
      </c>
      <c r="B20" s="9" t="s">
        <v>132</v>
      </c>
      <c r="C20" s="16" t="s">
        <v>91</v>
      </c>
      <c r="D20" s="13">
        <v>0.3</v>
      </c>
    </row>
    <row r="21" spans="1:4" ht="15.75" x14ac:dyDescent="0.2">
      <c r="A21" s="8">
        <v>19</v>
      </c>
      <c r="B21" s="9" t="s">
        <v>133</v>
      </c>
      <c r="C21" s="16" t="s">
        <v>41</v>
      </c>
      <c r="D21" s="13">
        <v>1.35</v>
      </c>
    </row>
    <row r="22" spans="1:4" ht="15.75" x14ac:dyDescent="0.2">
      <c r="A22" s="8">
        <v>20</v>
      </c>
      <c r="B22" s="9" t="s">
        <v>134</v>
      </c>
      <c r="C22" s="16" t="s">
        <v>92</v>
      </c>
      <c r="D22" s="13">
        <v>0.85</v>
      </c>
    </row>
    <row r="23" spans="1:4" ht="15.75" x14ac:dyDescent="0.2">
      <c r="A23" s="8">
        <v>21</v>
      </c>
      <c r="B23" s="9" t="s">
        <v>135</v>
      </c>
      <c r="C23" s="16" t="s">
        <v>93</v>
      </c>
      <c r="D23" s="13">
        <v>1.35</v>
      </c>
    </row>
    <row r="24" spans="1:4" ht="15.75" x14ac:dyDescent="0.2">
      <c r="A24" s="8">
        <v>22</v>
      </c>
      <c r="B24" s="9" t="s">
        <v>136</v>
      </c>
      <c r="C24" s="16" t="s">
        <v>94</v>
      </c>
      <c r="D24" s="13">
        <v>0</v>
      </c>
    </row>
    <row r="25" spans="1:4" ht="15.75" x14ac:dyDescent="0.2">
      <c r="A25" s="8">
        <v>23</v>
      </c>
      <c r="B25" s="9" t="s">
        <v>137</v>
      </c>
      <c r="C25" s="16" t="s">
        <v>95</v>
      </c>
      <c r="D25" s="13">
        <v>1.5</v>
      </c>
    </row>
    <row r="26" spans="1:4" ht="15.75" x14ac:dyDescent="0.2">
      <c r="A26" s="8">
        <v>24</v>
      </c>
      <c r="B26" s="9" t="s">
        <v>138</v>
      </c>
      <c r="C26" s="16" t="s">
        <v>96</v>
      </c>
      <c r="D26" s="13">
        <v>1.2</v>
      </c>
    </row>
    <row r="27" spans="1:4" ht="15.75" x14ac:dyDescent="0.2">
      <c r="A27" s="8">
        <v>25</v>
      </c>
      <c r="B27" s="9" t="s">
        <v>139</v>
      </c>
      <c r="C27" s="16" t="s">
        <v>97</v>
      </c>
      <c r="D27" s="13">
        <v>0.75</v>
      </c>
    </row>
    <row r="28" spans="1:4" ht="15.75" x14ac:dyDescent="0.2">
      <c r="A28" s="8">
        <v>26</v>
      </c>
      <c r="B28" s="9" t="s">
        <v>140</v>
      </c>
      <c r="C28" s="16" t="s">
        <v>98</v>
      </c>
      <c r="D28" s="13">
        <v>1</v>
      </c>
    </row>
    <row r="29" spans="1:4" ht="15.75" x14ac:dyDescent="0.2">
      <c r="A29" s="8">
        <v>27</v>
      </c>
      <c r="B29" s="9" t="s">
        <v>141</v>
      </c>
      <c r="C29" s="16" t="s">
        <v>99</v>
      </c>
      <c r="D29" s="13">
        <v>1.5</v>
      </c>
    </row>
    <row r="30" spans="1:4" ht="15.75" x14ac:dyDescent="0.2">
      <c r="A30" s="8">
        <v>28</v>
      </c>
      <c r="B30" s="9" t="s">
        <v>142</v>
      </c>
      <c r="C30" s="16" t="s">
        <v>100</v>
      </c>
      <c r="D30" s="13">
        <v>1</v>
      </c>
    </row>
    <row r="31" spans="1:4" ht="15.75" x14ac:dyDescent="0.2">
      <c r="A31" s="8">
        <v>29</v>
      </c>
      <c r="B31" s="9" t="s">
        <v>143</v>
      </c>
      <c r="C31" s="16" t="s">
        <v>101</v>
      </c>
      <c r="D31" s="3">
        <v>0</v>
      </c>
    </row>
    <row r="32" spans="1:4" ht="15.75" x14ac:dyDescent="0.2">
      <c r="A32" s="8">
        <v>30</v>
      </c>
      <c r="B32" s="9" t="s">
        <v>144</v>
      </c>
      <c r="C32" s="16" t="s">
        <v>102</v>
      </c>
      <c r="D32" s="13">
        <v>1</v>
      </c>
    </row>
    <row r="33" spans="1:4" ht="15.75" x14ac:dyDescent="0.2">
      <c r="A33" s="8">
        <v>31</v>
      </c>
      <c r="B33" s="9" t="s">
        <v>145</v>
      </c>
      <c r="C33" s="16" t="s">
        <v>103</v>
      </c>
      <c r="D33" s="13">
        <v>1</v>
      </c>
    </row>
    <row r="34" spans="1:4" ht="15.75" x14ac:dyDescent="0.2">
      <c r="A34" s="8">
        <v>32</v>
      </c>
      <c r="B34" s="9" t="s">
        <v>146</v>
      </c>
      <c r="C34" s="16" t="s">
        <v>104</v>
      </c>
      <c r="D34" s="13">
        <v>1</v>
      </c>
    </row>
    <row r="35" spans="1:4" ht="15.75" x14ac:dyDescent="0.2">
      <c r="A35" s="8">
        <v>33</v>
      </c>
      <c r="B35" s="9" t="s">
        <v>147</v>
      </c>
      <c r="C35" s="16" t="s">
        <v>105</v>
      </c>
      <c r="D35" s="13">
        <v>1</v>
      </c>
    </row>
    <row r="36" spans="1:4" ht="15.75" x14ac:dyDescent="0.2">
      <c r="A36" s="8">
        <v>34</v>
      </c>
      <c r="B36" s="9" t="s">
        <v>148</v>
      </c>
      <c r="C36" s="16" t="s">
        <v>106</v>
      </c>
      <c r="D36" s="13">
        <v>0.75</v>
      </c>
    </row>
    <row r="37" spans="1:4" ht="15.75" x14ac:dyDescent="0.2">
      <c r="A37" s="8">
        <v>35</v>
      </c>
      <c r="B37" s="9" t="s">
        <v>149</v>
      </c>
      <c r="C37" s="16" t="s">
        <v>107</v>
      </c>
      <c r="D37" s="13">
        <v>0</v>
      </c>
    </row>
    <row r="38" spans="1:4" ht="15.75" x14ac:dyDescent="0.2">
      <c r="A38" s="8">
        <v>36</v>
      </c>
      <c r="B38" s="9" t="s">
        <v>150</v>
      </c>
      <c r="C38" s="16" t="s">
        <v>108</v>
      </c>
      <c r="D38" s="13">
        <v>0.5</v>
      </c>
    </row>
    <row r="39" spans="1:4" ht="15.75" x14ac:dyDescent="0.2">
      <c r="A39" s="8">
        <v>37</v>
      </c>
      <c r="B39" s="9" t="s">
        <v>151</v>
      </c>
      <c r="C39" s="16" t="s">
        <v>109</v>
      </c>
      <c r="D39" s="13">
        <v>0.3</v>
      </c>
    </row>
    <row r="40" spans="1:4" ht="15.75" x14ac:dyDescent="0.2">
      <c r="A40" s="8">
        <v>38</v>
      </c>
      <c r="B40" s="9" t="s">
        <v>152</v>
      </c>
      <c r="C40" s="16" t="s">
        <v>110</v>
      </c>
      <c r="D40" s="13">
        <v>1</v>
      </c>
    </row>
    <row r="41" spans="1:4" ht="15.75" x14ac:dyDescent="0.2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41"/>
  <sheetViews>
    <sheetView zoomScale="85" zoomScaleNormal="85" workbookViewId="0">
      <selection activeCell="D8" sqref="D8"/>
    </sheetView>
  </sheetViews>
  <sheetFormatPr defaultRowHeight="12.75" x14ac:dyDescent="0.2"/>
  <cols>
    <col min="1" max="1" width="7.6640625" style="17" bestFit="1" customWidth="1"/>
    <col min="2" max="2" width="14" style="17" bestFit="1" customWidth="1"/>
    <col min="3" max="3" width="32.33203125" style="17" customWidth="1"/>
    <col min="4" max="4" width="21.33203125" style="17" bestFit="1" customWidth="1"/>
    <col min="5" max="5" width="45.83203125" style="17" customWidth="1"/>
    <col min="6" max="16384" width="9.33203125" style="17"/>
  </cols>
  <sheetData>
    <row r="1" spans="1:4" ht="20.25" x14ac:dyDescent="0.2">
      <c r="A1" s="31" t="s">
        <v>160</v>
      </c>
      <c r="B1" s="31"/>
      <c r="C1" s="31"/>
      <c r="D1" s="31"/>
    </row>
    <row r="2" spans="1:4" ht="15.75" x14ac:dyDescent="0.2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75" x14ac:dyDescent="0.2">
      <c r="A3" s="8">
        <v>1</v>
      </c>
      <c r="B3" s="16" t="s">
        <v>115</v>
      </c>
      <c r="C3" s="16" t="s">
        <v>21</v>
      </c>
      <c r="D3" s="11">
        <v>4.2</v>
      </c>
    </row>
    <row r="4" spans="1:4" ht="15.75" x14ac:dyDescent="0.2">
      <c r="A4" s="8">
        <v>2</v>
      </c>
      <c r="B4" s="16" t="s">
        <v>116</v>
      </c>
      <c r="C4" s="16" t="s">
        <v>23</v>
      </c>
      <c r="D4" s="11">
        <v>5.8</v>
      </c>
    </row>
    <row r="5" spans="1:4" ht="15.75" x14ac:dyDescent="0.2">
      <c r="A5" s="8">
        <v>3</v>
      </c>
      <c r="B5" s="16" t="s">
        <v>117</v>
      </c>
      <c r="C5" s="16" t="s">
        <v>25</v>
      </c>
      <c r="D5" s="11">
        <v>5.8</v>
      </c>
    </row>
    <row r="6" spans="1:4" ht="15.75" x14ac:dyDescent="0.2">
      <c r="A6" s="8">
        <v>4</v>
      </c>
      <c r="B6" s="16" t="s">
        <v>118</v>
      </c>
      <c r="C6" s="16" t="s">
        <v>27</v>
      </c>
      <c r="D6" s="11">
        <v>4.5</v>
      </c>
    </row>
    <row r="7" spans="1:4" ht="15.75" x14ac:dyDescent="0.2">
      <c r="A7" s="8">
        <v>5</v>
      </c>
      <c r="B7" s="16" t="s">
        <v>119</v>
      </c>
      <c r="C7" s="16" t="s">
        <v>29</v>
      </c>
      <c r="D7" s="11">
        <v>5.5</v>
      </c>
    </row>
    <row r="8" spans="1:4" ht="15.75" x14ac:dyDescent="0.2">
      <c r="A8" s="8">
        <v>6</v>
      </c>
      <c r="B8" s="16" t="s">
        <v>120</v>
      </c>
      <c r="C8" s="16" t="s">
        <v>82</v>
      </c>
      <c r="D8" s="11">
        <v>7.5</v>
      </c>
    </row>
    <row r="9" spans="1:4" ht="15.75" x14ac:dyDescent="0.2">
      <c r="A9" s="8">
        <v>7</v>
      </c>
      <c r="B9" s="16" t="s">
        <v>121</v>
      </c>
      <c r="C9" s="16" t="s">
        <v>32</v>
      </c>
      <c r="D9" s="11">
        <v>5.3</v>
      </c>
    </row>
    <row r="10" spans="1:4" ht="15.75" x14ac:dyDescent="0.2">
      <c r="A10" s="8">
        <v>8</v>
      </c>
      <c r="B10" s="16" t="s">
        <v>122</v>
      </c>
      <c r="C10" s="16" t="s">
        <v>83</v>
      </c>
      <c r="D10" s="11">
        <v>7.7</v>
      </c>
    </row>
    <row r="11" spans="1:4" ht="15.75" x14ac:dyDescent="0.2">
      <c r="A11" s="8">
        <v>9</v>
      </c>
      <c r="B11" s="16" t="s">
        <v>123</v>
      </c>
      <c r="C11" s="16" t="s">
        <v>84</v>
      </c>
      <c r="D11" s="11">
        <v>-3</v>
      </c>
    </row>
    <row r="12" spans="1:4" ht="15.75" x14ac:dyDescent="0.2">
      <c r="A12" s="8">
        <v>10</v>
      </c>
      <c r="B12" s="16" t="s">
        <v>124</v>
      </c>
      <c r="C12" s="16" t="s">
        <v>85</v>
      </c>
      <c r="D12" s="11">
        <v>6.8</v>
      </c>
    </row>
    <row r="13" spans="1:4" ht="15.75" x14ac:dyDescent="0.2">
      <c r="A13" s="8">
        <v>11</v>
      </c>
      <c r="B13" s="16" t="s">
        <v>125</v>
      </c>
      <c r="C13" s="16" t="s">
        <v>86</v>
      </c>
      <c r="D13" s="11">
        <v>6.3</v>
      </c>
    </row>
    <row r="14" spans="1:4" ht="15.75" x14ac:dyDescent="0.2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75" x14ac:dyDescent="0.2">
      <c r="A15" s="8">
        <v>13</v>
      </c>
      <c r="B15" s="16" t="s">
        <v>127</v>
      </c>
      <c r="C15" s="16" t="s">
        <v>88</v>
      </c>
      <c r="D15" s="11">
        <v>5.5</v>
      </c>
    </row>
    <row r="16" spans="1:4" ht="15.75" x14ac:dyDescent="0.2">
      <c r="A16" s="8">
        <v>14</v>
      </c>
      <c r="B16" s="16" t="s">
        <v>128</v>
      </c>
      <c r="C16" s="16" t="s">
        <v>89</v>
      </c>
      <c r="D16" s="11">
        <v>6</v>
      </c>
    </row>
    <row r="17" spans="1:4" ht="15.75" x14ac:dyDescent="0.2">
      <c r="A17" s="8">
        <v>15</v>
      </c>
      <c r="B17" s="16" t="s">
        <v>129</v>
      </c>
      <c r="C17" s="16" t="s">
        <v>37</v>
      </c>
      <c r="D17" s="11">
        <v>-3</v>
      </c>
    </row>
    <row r="18" spans="1:4" ht="15.75" x14ac:dyDescent="0.2">
      <c r="A18" s="8">
        <v>16</v>
      </c>
      <c r="B18" s="16" t="s">
        <v>130</v>
      </c>
      <c r="C18" s="16" t="s">
        <v>90</v>
      </c>
      <c r="D18" s="11">
        <v>5.7</v>
      </c>
    </row>
    <row r="19" spans="1:4" ht="15.75" x14ac:dyDescent="0.2">
      <c r="A19" s="8">
        <v>17</v>
      </c>
      <c r="B19" s="16" t="s">
        <v>131</v>
      </c>
      <c r="C19" s="16" t="s">
        <v>39</v>
      </c>
      <c r="D19" s="11">
        <v>7</v>
      </c>
    </row>
    <row r="20" spans="1:4" ht="15.75" x14ac:dyDescent="0.2">
      <c r="A20" s="8">
        <v>18</v>
      </c>
      <c r="B20" s="16" t="s">
        <v>132</v>
      </c>
      <c r="C20" s="16" t="s">
        <v>91</v>
      </c>
      <c r="D20" s="11">
        <v>6.5</v>
      </c>
    </row>
    <row r="21" spans="1:4" ht="15.75" x14ac:dyDescent="0.2">
      <c r="A21" s="8">
        <v>19</v>
      </c>
      <c r="B21" s="16" t="s">
        <v>133</v>
      </c>
      <c r="C21" s="16" t="s">
        <v>41</v>
      </c>
      <c r="D21" s="11">
        <v>-3</v>
      </c>
    </row>
    <row r="22" spans="1:4" ht="15.75" x14ac:dyDescent="0.2">
      <c r="A22" s="8">
        <v>20</v>
      </c>
      <c r="B22" s="16" t="s">
        <v>134</v>
      </c>
      <c r="C22" s="16" t="s">
        <v>92</v>
      </c>
      <c r="D22" s="11">
        <v>6.5</v>
      </c>
    </row>
    <row r="23" spans="1:4" ht="15.75" x14ac:dyDescent="0.2">
      <c r="A23" s="8">
        <v>21</v>
      </c>
      <c r="B23" s="16" t="s">
        <v>135</v>
      </c>
      <c r="C23" s="16" t="s">
        <v>93</v>
      </c>
      <c r="D23" s="11">
        <v>6.7</v>
      </c>
    </row>
    <row r="24" spans="1:4" ht="15.75" x14ac:dyDescent="0.2">
      <c r="A24" s="8">
        <v>22</v>
      </c>
      <c r="B24" s="16" t="s">
        <v>136</v>
      </c>
      <c r="C24" s="16" t="s">
        <v>94</v>
      </c>
      <c r="D24" s="11">
        <v>4.5</v>
      </c>
    </row>
    <row r="25" spans="1:4" ht="15.75" x14ac:dyDescent="0.2">
      <c r="A25" s="8">
        <v>23</v>
      </c>
      <c r="B25" s="16" t="s">
        <v>137</v>
      </c>
      <c r="C25" s="16" t="s">
        <v>95</v>
      </c>
      <c r="D25" s="11">
        <v>7.5</v>
      </c>
    </row>
    <row r="26" spans="1:4" ht="15.75" x14ac:dyDescent="0.2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75" x14ac:dyDescent="0.2">
      <c r="A27" s="8">
        <v>25</v>
      </c>
      <c r="B27" s="16" t="s">
        <v>139</v>
      </c>
      <c r="C27" s="16" t="s">
        <v>97</v>
      </c>
      <c r="D27" s="11">
        <v>6.8</v>
      </c>
    </row>
    <row r="28" spans="1:4" ht="15.75" x14ac:dyDescent="0.2">
      <c r="A28" s="8">
        <v>26</v>
      </c>
      <c r="B28" s="16" t="s">
        <v>140</v>
      </c>
      <c r="C28" s="16" t="s">
        <v>98</v>
      </c>
      <c r="D28" s="11">
        <v>7.8</v>
      </c>
    </row>
    <row r="29" spans="1:4" ht="15.75" x14ac:dyDescent="0.2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75" x14ac:dyDescent="0.2">
      <c r="A30" s="8">
        <v>28</v>
      </c>
      <c r="B30" s="16" t="s">
        <v>142</v>
      </c>
      <c r="C30" s="16" t="s">
        <v>100</v>
      </c>
      <c r="D30" s="11">
        <v>7.8</v>
      </c>
    </row>
    <row r="31" spans="1:4" ht="15.75" x14ac:dyDescent="0.2">
      <c r="A31" s="8">
        <v>29</v>
      </c>
      <c r="B31" s="16" t="s">
        <v>143</v>
      </c>
      <c r="C31" s="16" t="s">
        <v>101</v>
      </c>
      <c r="D31" s="11">
        <v>7.7</v>
      </c>
    </row>
    <row r="32" spans="1:4" ht="15.75" x14ac:dyDescent="0.2">
      <c r="A32" s="8">
        <v>30</v>
      </c>
      <c r="B32" s="16" t="s">
        <v>144</v>
      </c>
      <c r="C32" s="16" t="s">
        <v>102</v>
      </c>
      <c r="D32" s="11">
        <v>-3</v>
      </c>
    </row>
    <row r="33" spans="1:4" ht="15.75" x14ac:dyDescent="0.2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75" x14ac:dyDescent="0.2">
      <c r="A34" s="8">
        <v>32</v>
      </c>
      <c r="B34" s="16" t="s">
        <v>146</v>
      </c>
      <c r="C34" s="16" t="s">
        <v>104</v>
      </c>
      <c r="D34" s="11">
        <v>7.5</v>
      </c>
    </row>
    <row r="35" spans="1:4" ht="15.75" x14ac:dyDescent="0.2">
      <c r="A35" s="8">
        <v>33</v>
      </c>
      <c r="B35" s="16" t="s">
        <v>147</v>
      </c>
      <c r="C35" s="16" t="s">
        <v>105</v>
      </c>
      <c r="D35" s="11">
        <v>-3</v>
      </c>
    </row>
    <row r="36" spans="1:4" ht="15.75" x14ac:dyDescent="0.2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75" x14ac:dyDescent="0.2">
      <c r="A37" s="8">
        <v>35</v>
      </c>
      <c r="B37" s="16" t="s">
        <v>149</v>
      </c>
      <c r="C37" s="16" t="s">
        <v>107</v>
      </c>
      <c r="D37" s="11">
        <v>7.5</v>
      </c>
    </row>
    <row r="38" spans="1:4" ht="15.75" x14ac:dyDescent="0.2">
      <c r="A38" s="8">
        <v>36</v>
      </c>
      <c r="B38" s="16" t="s">
        <v>150</v>
      </c>
      <c r="C38" s="16" t="s">
        <v>108</v>
      </c>
      <c r="D38" s="11">
        <v>5.5</v>
      </c>
    </row>
    <row r="39" spans="1:4" ht="15.75" x14ac:dyDescent="0.2">
      <c r="A39" s="8">
        <v>37</v>
      </c>
      <c r="B39" s="16" t="s">
        <v>151</v>
      </c>
      <c r="C39" s="16" t="s">
        <v>109</v>
      </c>
      <c r="D39" s="11">
        <v>6.7</v>
      </c>
    </row>
    <row r="40" spans="1:4" ht="15.75" x14ac:dyDescent="0.2">
      <c r="A40" s="8">
        <v>38</v>
      </c>
      <c r="B40" s="16" t="s">
        <v>152</v>
      </c>
      <c r="C40" s="16" t="s">
        <v>110</v>
      </c>
      <c r="D40" s="11">
        <v>5.5</v>
      </c>
    </row>
    <row r="41" spans="1:4" ht="15.75" x14ac:dyDescent="0.2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W83"/>
  <sheetViews>
    <sheetView tabSelected="1" zoomScaleNormal="100" workbookViewId="0">
      <selection activeCell="I6" sqref="I6"/>
    </sheetView>
  </sheetViews>
  <sheetFormatPr defaultRowHeight="12.75" x14ac:dyDescent="0.2"/>
  <cols>
    <col min="1" max="1" width="18.83203125" style="17" customWidth="1"/>
    <col min="2" max="2" width="16.33203125" style="17" customWidth="1"/>
    <col min="3" max="3" width="34.83203125" style="17" customWidth="1"/>
    <col min="4" max="4" width="6.33203125" style="17" customWidth="1"/>
    <col min="5" max="5" width="27" style="17" customWidth="1"/>
    <col min="6" max="6" width="38.1640625" style="17" customWidth="1"/>
    <col min="7" max="7" width="6.33203125" style="17" customWidth="1"/>
    <col min="8" max="8" width="6" style="17" bestFit="1" customWidth="1"/>
    <col min="9" max="9" width="57.6640625" style="17" customWidth="1"/>
    <col min="10" max="10" width="9.83203125" style="17" customWidth="1"/>
    <col min="11" max="11" width="83" style="17" customWidth="1"/>
    <col min="12" max="12" width="39.83203125" style="17" customWidth="1"/>
    <col min="13" max="15" width="14.6640625" style="17" bestFit="1" customWidth="1"/>
    <col min="16" max="16" width="17.33203125" style="17" bestFit="1" customWidth="1"/>
    <col min="17" max="17" width="12" style="17" bestFit="1" customWidth="1"/>
    <col min="18" max="18" width="14.5" style="17" bestFit="1" customWidth="1"/>
    <col min="19" max="19" width="33.6640625" style="17" bestFit="1" customWidth="1"/>
    <col min="20" max="20" width="13.5" style="17" bestFit="1" customWidth="1"/>
    <col min="21" max="21" width="11.1640625" style="17" customWidth="1"/>
    <col min="22" max="16384" width="9.33203125" style="17"/>
  </cols>
  <sheetData>
    <row r="1" spans="1:6" ht="20.25" x14ac:dyDescent="0.3">
      <c r="A1" s="37" t="s">
        <v>46</v>
      </c>
      <c r="B1" s="37"/>
      <c r="C1" s="37"/>
      <c r="D1" s="4"/>
      <c r="E1" s="38" t="s">
        <v>55</v>
      </c>
      <c r="F1" s="38"/>
    </row>
    <row r="2" spans="1:6" ht="31.5" x14ac:dyDescent="0.2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75" x14ac:dyDescent="0.25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6" ht="15.75" x14ac:dyDescent="0.25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6" ht="15.75" x14ac:dyDescent="0.25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6" ht="15.75" x14ac:dyDescent="0.25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75" x14ac:dyDescent="0.25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75" x14ac:dyDescent="0.25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75" x14ac:dyDescent="0.25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75" x14ac:dyDescent="0.25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75" x14ac:dyDescent="0.25">
      <c r="A11" s="7"/>
      <c r="B11" s="7"/>
      <c r="C11" s="7"/>
      <c r="D11" s="4"/>
      <c r="E11" s="4"/>
      <c r="F11" s="4"/>
    </row>
    <row r="12" spans="1:6" ht="20.25" x14ac:dyDescent="0.2">
      <c r="A12" s="41" t="s">
        <v>157</v>
      </c>
      <c r="B12" s="41"/>
      <c r="C12" s="41"/>
      <c r="D12" s="4"/>
      <c r="E12" s="39" t="s">
        <v>154</v>
      </c>
      <c r="F12" s="40"/>
    </row>
    <row r="13" spans="1:6" ht="15.75" x14ac:dyDescent="0.2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75" x14ac:dyDescent="0.25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5">
        <f>COUNTIF('Tổng hợp điểm'!$K$7:$K$45,"A")</f>
        <v>1</v>
      </c>
    </row>
    <row r="15" spans="1:6" ht="15.75" x14ac:dyDescent="0.25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5">
        <f>COUNTIF('Tổng hợp điểm'!$K$7:$K$45,"B+")</f>
        <v>5</v>
      </c>
    </row>
    <row r="16" spans="1:6" ht="15.75" x14ac:dyDescent="0.25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5">
        <f>COUNTIF('Tổng hợp điểm'!$K$7:$K$45,"B")</f>
        <v>7</v>
      </c>
    </row>
    <row r="17" spans="1:11" ht="15.75" x14ac:dyDescent="0.25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5">
        <f>COUNTIF('Tổng hợp điểm'!$K$7:$K$45,"C+")</f>
        <v>6</v>
      </c>
    </row>
    <row r="18" spans="1:11" ht="15.75" x14ac:dyDescent="0.25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5">
        <f>COUNTIF('Tổng hợp điểm'!$K$7:$K$45,"C")</f>
        <v>9</v>
      </c>
    </row>
    <row r="19" spans="1:11" ht="15.75" x14ac:dyDescent="0.25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5">
        <f>COUNTIF('Tổng hợp điểm'!$K$7:$K$45,"D+")</f>
        <v>1</v>
      </c>
    </row>
    <row r="20" spans="1:11" ht="15.75" x14ac:dyDescent="0.25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5">
        <f>COUNTIF('Tổng hợp điểm'!$K$7:$K$45,"D")</f>
        <v>1</v>
      </c>
    </row>
    <row r="21" spans="1:11" ht="15.75" x14ac:dyDescent="0.25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5">
        <f>COUNTIF('Tổng hợp điểm'!$K$7:$K$45,"F")</f>
        <v>9</v>
      </c>
    </row>
    <row r="22" spans="1:11" ht="15.75" x14ac:dyDescent="0.2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2">
      <c r="A23" s="8">
        <v>10</v>
      </c>
      <c r="B23" s="16" t="s">
        <v>137</v>
      </c>
      <c r="C23" s="16" t="s">
        <v>95</v>
      </c>
      <c r="D23" s="4"/>
      <c r="E23" s="42" t="s">
        <v>155</v>
      </c>
      <c r="F23" s="42"/>
    </row>
    <row r="24" spans="1:11" ht="15.75" customHeight="1" x14ac:dyDescent="0.2">
      <c r="A24" s="8">
        <v>11</v>
      </c>
      <c r="B24" s="16" t="s">
        <v>121</v>
      </c>
      <c r="C24" s="16" t="s">
        <v>32</v>
      </c>
      <c r="D24" s="4"/>
      <c r="E24" s="32" t="s">
        <v>156</v>
      </c>
      <c r="F24" s="33">
        <f>COUNTIF('Tổng hợp điểm'!G:G,0) + COUNTIF('Tổng hợp điểm'!H:H,"=-3")</f>
        <v>9</v>
      </c>
    </row>
    <row r="25" spans="1:11" ht="15.75" x14ac:dyDescent="0.2">
      <c r="A25" s="8">
        <v>12</v>
      </c>
      <c r="B25" s="16" t="s">
        <v>136</v>
      </c>
      <c r="C25" s="16" t="s">
        <v>94</v>
      </c>
      <c r="D25" s="4"/>
      <c r="E25" s="32"/>
      <c r="F25" s="33"/>
      <c r="K25" s="24"/>
    </row>
    <row r="26" spans="1:11" ht="15.75" x14ac:dyDescent="0.2">
      <c r="A26" s="8">
        <v>13</v>
      </c>
      <c r="B26" s="16" t="s">
        <v>119</v>
      </c>
      <c r="C26" s="16" t="s">
        <v>29</v>
      </c>
      <c r="D26" s="4"/>
      <c r="E26" s="32"/>
      <c r="F26" s="33"/>
    </row>
    <row r="27" spans="1:11" ht="15.75" customHeight="1" x14ac:dyDescent="0.2">
      <c r="A27" s="8">
        <v>14</v>
      </c>
      <c r="B27" s="16" t="s">
        <v>116</v>
      </c>
      <c r="C27" s="16" t="s">
        <v>23</v>
      </c>
      <c r="D27" s="4"/>
      <c r="E27" s="34" t="s">
        <v>161</v>
      </c>
      <c r="F27" s="33">
        <f>COUNT('Sinh viên điểm &gt;= 7'!A2:A14)</f>
        <v>13</v>
      </c>
    </row>
    <row r="28" spans="1:11" ht="15.75" x14ac:dyDescent="0.2">
      <c r="A28" s="8">
        <v>15</v>
      </c>
      <c r="B28" s="16" t="s">
        <v>135</v>
      </c>
      <c r="C28" s="16" t="s">
        <v>93</v>
      </c>
      <c r="D28" s="4"/>
      <c r="E28" s="35"/>
      <c r="F28" s="33"/>
    </row>
    <row r="29" spans="1:11" ht="15.75" x14ac:dyDescent="0.2">
      <c r="A29" s="8">
        <v>16</v>
      </c>
      <c r="B29" s="16" t="s">
        <v>141</v>
      </c>
      <c r="C29" s="16" t="s">
        <v>99</v>
      </c>
      <c r="D29" s="4"/>
      <c r="E29" s="36"/>
      <c r="F29" s="33"/>
    </row>
    <row r="30" spans="1:11" ht="15.75" x14ac:dyDescent="0.2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75" x14ac:dyDescent="0.2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75" x14ac:dyDescent="0.2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75" x14ac:dyDescent="0.2">
      <c r="A33" s="8">
        <v>20</v>
      </c>
      <c r="B33" s="16" t="s">
        <v>148</v>
      </c>
      <c r="C33" s="16" t="s">
        <v>106</v>
      </c>
      <c r="D33" s="4"/>
      <c r="E33" s="4"/>
      <c r="F33" s="4"/>
    </row>
    <row r="34" spans="1:23" ht="15.75" x14ac:dyDescent="0.2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75" x14ac:dyDescent="0.2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75" x14ac:dyDescent="0.2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75" x14ac:dyDescent="0.2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75" x14ac:dyDescent="0.2">
      <c r="A38" s="8">
        <v>25</v>
      </c>
      <c r="B38" s="16" t="s">
        <v>152</v>
      </c>
      <c r="C38" s="16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4"/>
      <c r="V39" s="24"/>
      <c r="W39" s="24"/>
    </row>
    <row r="40" spans="1:23" ht="15.75" x14ac:dyDescent="0.2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75" x14ac:dyDescent="0.2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75" x14ac:dyDescent="0.2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75" x14ac:dyDescent="0.2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75" x14ac:dyDescent="0.2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75" x14ac:dyDescent="0.2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75" x14ac:dyDescent="0.2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75" x14ac:dyDescent="0.2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75" x14ac:dyDescent="0.2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75" x14ac:dyDescent="0.2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75" x14ac:dyDescent="0.2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75" x14ac:dyDescent="0.2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75" x14ac:dyDescent="0.2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N11" sqref="N11"/>
    </sheetView>
  </sheetViews>
  <sheetFormatPr defaultRowHeight="12.75" x14ac:dyDescent="0.2"/>
  <cols>
    <col min="1" max="1" width="6.6640625" bestFit="1" customWidth="1"/>
    <col min="2" max="2" width="15.6640625"/>
    <col min="3" max="3" width="31.6640625" bestFit="1" customWidth="1"/>
    <col min="4" max="9" width="15.6640625"/>
    <col min="10" max="10" width="19.6640625" customWidth="1"/>
  </cols>
  <sheetData>
    <row r="1" spans="1:11" ht="31.5" x14ac:dyDescent="0.2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15.75" x14ac:dyDescent="0.2">
      <c r="A2" s="25">
        <v>1</v>
      </c>
      <c r="B2" s="16" t="s">
        <v>20</v>
      </c>
      <c r="C2" s="16" t="str">
        <f>VLOOKUP(RIGHT(B2,8),'Các bảng tham chiếu &amp; Thống kê'!$B$14:$C$52,2,0)</f>
        <v>Nguyễn Phước Hiếu</v>
      </c>
      <c r="D2" s="13">
        <f>VLOOKUP(RIGHT(B2,8),'Điểm thực hành các buổi'!$B$3:$D$41,3,0)</f>
        <v>0.45</v>
      </c>
      <c r="E2" s="13">
        <f>VLOOKUP(RIGHT(B2,8),'Điểm thực hành các buổi'!$B$3:$F$41,4,0)</f>
        <v>0.25</v>
      </c>
      <c r="F2" s="13">
        <f>VLOOKUP(RIGHT(B2,8),'Điểm thực hành các buổi'!$B$3:$F$41,5,0)</f>
        <v>0.3</v>
      </c>
      <c r="G2" s="13">
        <f>VLOOKUP(RIGHT(B2,8),'Điểm bài tập lớn'!$B$3:$F$41,3,0)</f>
        <v>0.5</v>
      </c>
      <c r="H2" s="13">
        <f>VLOOKUP(RIGHT(B2,8),'Điểm lý thuyết'!$B$3:$F$41,3,0)</f>
        <v>4.2</v>
      </c>
      <c r="I2" s="13">
        <f>ROUND(IF(H2 = -3,0,SUM(D2:G2)+0.6*H2),1)</f>
        <v>4</v>
      </c>
      <c r="J2" s="23">
        <f>IF(OR(G2 = 0,INT(LEFT(B2,1)) &gt; 2),0,ROUND(I2+VLOOKUP(INT(LEFT(B2,1)), 'Các bảng tham chiếu &amp; Thống kê'!$E$3:$F$5, 2, 0),1))</f>
        <v>5</v>
      </c>
      <c r="K2" s="13" t="str">
        <f>VLOOKUP(J2, 'Các bảng tham chiếu &amp; Thống kê'!$A$3:$B$10, 2, 1)</f>
        <v>D+</v>
      </c>
    </row>
    <row r="3" spans="1:11" ht="15.75" x14ac:dyDescent="0.2">
      <c r="A3" s="25">
        <v>2</v>
      </c>
      <c r="B3" s="16" t="s">
        <v>22</v>
      </c>
      <c r="C3" s="16" t="str">
        <f>VLOOKUP(RIGHT(B3,8),'Các bảng tham chiếu &amp; Thống kê'!$B$14:$C$52,2,0)</f>
        <v>Lý Minh Trí</v>
      </c>
      <c r="D3" s="13">
        <f>VLOOKUP(RIGHT(B3,8),'Điểm thực hành các buổi'!$B$3:$D$41,3,0)</f>
        <v>0.5</v>
      </c>
      <c r="E3" s="13">
        <f>VLOOKUP(RIGHT(B3,8),'Điểm thực hành các buổi'!$B$3:$F$41,4,0)</f>
        <v>0.35</v>
      </c>
      <c r="F3" s="13">
        <f>VLOOKUP(RIGHT(B3,8),'Điểm thực hành các buổi'!$B$3:$F$41,5,0)</f>
        <v>0.4</v>
      </c>
      <c r="G3" s="13">
        <f>VLOOKUP(RIGHT(B3,8),'Điểm bài tập lớn'!$B$3:$F$41,3,0)</f>
        <v>1</v>
      </c>
      <c r="H3" s="13">
        <f>VLOOKUP(RIGHT(B3,8),'Điểm lý thuyết'!$B$3:$F$41,3,0)</f>
        <v>5.8</v>
      </c>
      <c r="I3" s="13">
        <f t="shared" ref="I3:I27" si="0">ROUND(IF(H3 = -3,0,SUM(D3:G3)+0.6*H3),1)</f>
        <v>5.7</v>
      </c>
      <c r="J3" s="23">
        <f>IF(OR(G3 = 0,INT(LEFT(B3,1)) &gt; 2),0,ROUND(I3+VLOOKUP(INT(LEFT(B3,1)), 'Các bảng tham chiếu &amp; Thống kê'!$E$3:$F$5, 2, 0),1))</f>
        <v>6.2</v>
      </c>
      <c r="K3" s="13" t="str">
        <f>VLOOKUP(J3, 'Các bảng tham chiếu &amp; Thống kê'!$A$3:$B$10, 2, 1)</f>
        <v>C</v>
      </c>
    </row>
    <row r="4" spans="1:11" ht="15.75" x14ac:dyDescent="0.2">
      <c r="A4" s="25">
        <v>3</v>
      </c>
      <c r="B4" s="16" t="s">
        <v>24</v>
      </c>
      <c r="C4" s="16" t="str">
        <f>VLOOKUP(RIGHT(B4,8),'Các bảng tham chiếu &amp; Thống kê'!$B$14:$C$52,2,0)</f>
        <v>Nguyễn Kiều Mi</v>
      </c>
      <c r="D4" s="13">
        <f>VLOOKUP(RIGHT(B4,8),'Điểm thực hành các buổi'!$B$3:$D$41,3,0)</f>
        <v>0.25</v>
      </c>
      <c r="E4" s="13">
        <f>VLOOKUP(RIGHT(B4,8),'Điểm thực hành các buổi'!$B$3:$F$41,4,0)</f>
        <v>0.25</v>
      </c>
      <c r="F4" s="13">
        <f>VLOOKUP(RIGHT(B4,8),'Điểm thực hành các buổi'!$B$3:$F$41,5,0)</f>
        <v>0.3</v>
      </c>
      <c r="G4" s="13">
        <f>VLOOKUP(RIGHT(B4,8),'Điểm bài tập lớn'!$B$3:$F$41,3,0)</f>
        <v>0.5</v>
      </c>
      <c r="H4" s="13">
        <f>VLOOKUP(RIGHT(B4,8),'Điểm lý thuyết'!$B$3:$F$41,3,0)</f>
        <v>5.8</v>
      </c>
      <c r="I4" s="13">
        <f t="shared" si="0"/>
        <v>4.8</v>
      </c>
      <c r="J4" s="23">
        <f>IF(OR(G4 = 0,INT(LEFT(B4,1)) &gt; 2),0,ROUND(I4+VLOOKUP(INT(LEFT(B4,1)), 'Các bảng tham chiếu &amp; Thống kê'!$E$3:$F$5, 2, 0),1))</f>
        <v>5.8</v>
      </c>
      <c r="K4" s="13" t="str">
        <f>VLOOKUP(J4, 'Các bảng tham chiếu &amp; Thống kê'!$A$3:$B$10, 2, 1)</f>
        <v>C</v>
      </c>
    </row>
    <row r="5" spans="1:11" ht="15.75" x14ac:dyDescent="0.2">
      <c r="A5" s="25">
        <v>4</v>
      </c>
      <c r="B5" s="16" t="s">
        <v>26</v>
      </c>
      <c r="C5" s="16" t="str">
        <f>VLOOKUP(RIGHT(B5,8),'Các bảng tham chiếu &amp; Thống kê'!$B$14:$C$52,2,0)</f>
        <v>Đặng Duy Linh</v>
      </c>
      <c r="D5" s="13">
        <f>VLOOKUP(RIGHT(B5,8),'Điểm thực hành các buổi'!$B$3:$D$41,3,0)</f>
        <v>0.4</v>
      </c>
      <c r="E5" s="13">
        <f>VLOOKUP(RIGHT(B5,8),'Điểm thực hành các buổi'!$B$3:$F$41,4,0)</f>
        <v>0.25</v>
      </c>
      <c r="F5" s="13">
        <f>VLOOKUP(RIGHT(B5,8),'Điểm thực hành các buổi'!$B$3:$F$41,5,0)</f>
        <v>0.35</v>
      </c>
      <c r="G5" s="13">
        <f>VLOOKUP(RIGHT(B5,8),'Điểm bài tập lớn'!$B$3:$F$41,3,0)</f>
        <v>1</v>
      </c>
      <c r="H5" s="13">
        <f>VLOOKUP(RIGHT(B5,8),'Điểm lý thuyết'!$B$3:$F$41,3,0)</f>
        <v>4.5</v>
      </c>
      <c r="I5" s="13">
        <f t="shared" si="0"/>
        <v>4.7</v>
      </c>
      <c r="J5" s="23">
        <f>IF(OR(G5 = 0,INT(LEFT(B5,1)) &gt; 2),0,ROUND(I5+VLOOKUP(INT(LEFT(B5,1)), 'Các bảng tham chiếu &amp; Thống kê'!$E$3:$F$5, 2, 0),1))</f>
        <v>5.7</v>
      </c>
      <c r="K5" s="13" t="str">
        <f>VLOOKUP(J5, 'Các bảng tham chiếu &amp; Thống kê'!$A$3:$B$10, 2, 1)</f>
        <v>C</v>
      </c>
    </row>
    <row r="6" spans="1:11" ht="15.75" x14ac:dyDescent="0.2">
      <c r="A6" s="25">
        <v>5</v>
      </c>
      <c r="B6" s="16" t="s">
        <v>28</v>
      </c>
      <c r="C6" s="16" t="str">
        <f>VLOOKUP(RIGHT(B6,8),'Các bảng tham chiếu &amp; Thống kê'!$B$14:$C$52,2,0)</f>
        <v>Lê Thị Trúc Linh</v>
      </c>
      <c r="D6" s="13">
        <f>VLOOKUP(RIGHT(B6,8),'Điểm thực hành các buổi'!$B$3:$D$41,3,0)</f>
        <v>0.45</v>
      </c>
      <c r="E6" s="13">
        <f>VLOOKUP(RIGHT(B6,8),'Điểm thực hành các buổi'!$B$3:$F$41,4,0)</f>
        <v>0.4</v>
      </c>
      <c r="F6" s="13">
        <f>VLOOKUP(RIGHT(B6,8),'Điểm thực hành các buổi'!$B$3:$F$41,5,0)</f>
        <v>0.35</v>
      </c>
      <c r="G6" s="13">
        <f>VLOOKUP(RIGHT(B6,8),'Điểm bài tập lớn'!$B$3:$F$41,3,0)</f>
        <v>0.75</v>
      </c>
      <c r="H6" s="13">
        <f>VLOOKUP(RIGHT(B6,8),'Điểm lý thuyết'!$B$3:$F$41,3,0)</f>
        <v>5.5</v>
      </c>
      <c r="I6" s="13">
        <f t="shared" si="0"/>
        <v>5.3</v>
      </c>
      <c r="J6" s="23">
        <f>IF(OR(G6 = 0,INT(LEFT(B6,1)) &gt; 2),0,ROUND(I6+VLOOKUP(INT(LEFT(B6,1)), 'Các bảng tham chiếu &amp; Thống kê'!$E$3:$F$5, 2, 0),1))</f>
        <v>5.6</v>
      </c>
      <c r="K6" s="13" t="str">
        <f>VLOOKUP(J6, 'Các bảng tham chiếu &amp; Thống kê'!$A$3:$B$10, 2, 1)</f>
        <v>C</v>
      </c>
    </row>
    <row r="7" spans="1:11" ht="15.75" x14ac:dyDescent="0.2">
      <c r="A7" s="25">
        <v>7</v>
      </c>
      <c r="B7" s="16" t="s">
        <v>31</v>
      </c>
      <c r="C7" s="16" t="str">
        <f>VLOOKUP(RIGHT(B7,8),'Các bảng tham chiếu &amp; Thống kê'!$B$14:$C$52,2,0)</f>
        <v>Lê Minh Thông</v>
      </c>
      <c r="D7" s="13">
        <f>VLOOKUP(RIGHT(B7,8),'Điểm thực hành các buổi'!$B$3:$D$41,3,0)</f>
        <v>0.4</v>
      </c>
      <c r="E7" s="13">
        <f>VLOOKUP(RIGHT(B7,8),'Điểm thực hành các buổi'!$B$3:$F$41,4,0)</f>
        <v>0.4</v>
      </c>
      <c r="F7" s="13">
        <f>VLOOKUP(RIGHT(B7,8),'Điểm thực hành các buổi'!$B$3:$F$41,5,0)</f>
        <v>0.4</v>
      </c>
      <c r="G7" s="13">
        <f>VLOOKUP(RIGHT(B7,8),'Điểm bài tập lớn'!$B$3:$F$41,3,0)</f>
        <v>1</v>
      </c>
      <c r="H7" s="13">
        <f>VLOOKUP(RIGHT(B7,8),'Điểm lý thuyết'!$B$3:$F$41,3,0)</f>
        <v>5.3</v>
      </c>
      <c r="I7" s="13">
        <f t="shared" si="0"/>
        <v>5.4</v>
      </c>
      <c r="J7" s="23">
        <f>IF(OR(G7 = 0,INT(LEFT(B7,1)) &gt; 2),0,ROUND(I7+VLOOKUP(INT(LEFT(B7,1)), 'Các bảng tham chiếu &amp; Thống kê'!$E$3:$F$5, 2, 0),1))</f>
        <v>6.4</v>
      </c>
      <c r="K7" s="13" t="str">
        <f>VLOOKUP(J7, 'Các bảng tham chiếu &amp; Thống kê'!$A$3:$B$10, 2, 1)</f>
        <v>C</v>
      </c>
    </row>
    <row r="8" spans="1:11" ht="15.75" x14ac:dyDescent="0.2">
      <c r="A8" s="25">
        <v>9</v>
      </c>
      <c r="B8" s="16" t="s">
        <v>59</v>
      </c>
      <c r="C8" s="16" t="str">
        <f>VLOOKUP(RIGHT(B8,8),'Các bảng tham chiếu &amp; Thống kê'!$B$14:$C$52,2,0)</f>
        <v>Trần Thị Kim Khoa</v>
      </c>
      <c r="D8" s="13">
        <f>VLOOKUP(RIGHT(B8,8),'Điểm thực hành các buổi'!$B$3:$D$41,3,0)</f>
        <v>0.5</v>
      </c>
      <c r="E8" s="13">
        <f>VLOOKUP(RIGHT(B8,8),'Điểm thực hành các buổi'!$B$3:$F$41,4,0)</f>
        <v>0.4</v>
      </c>
      <c r="F8" s="13">
        <f>VLOOKUP(RIGHT(B8,8),'Điểm thực hành các buổi'!$B$3:$F$41,5,0)</f>
        <v>0.4</v>
      </c>
      <c r="G8" s="13">
        <f>VLOOKUP(RIGHT(B8,8),'Điểm bài tập lớn'!$B$3:$F$41,3,0)</f>
        <v>1</v>
      </c>
      <c r="H8" s="13">
        <f>VLOOKUP(RIGHT(B8,8),'Điểm lý thuyết'!$B$3:$F$41,3,0)</f>
        <v>-3</v>
      </c>
      <c r="I8" s="13">
        <f t="shared" si="0"/>
        <v>0</v>
      </c>
      <c r="J8" s="23">
        <f>IF(OR(G8 = 0,INT(LEFT(B8,1)) &gt; 2),0,ROUND(I8+VLOOKUP(INT(LEFT(B8,1)), 'Các bảng tham chiếu &amp; Thống kê'!$E$3:$F$5, 2, 0),1))</f>
        <v>0</v>
      </c>
      <c r="K8" s="13" t="str">
        <f>VLOOKUP(J8, 'Các bảng tham chiếu &amp; Thống kê'!$A$3:$B$10, 2, 1)</f>
        <v>F</v>
      </c>
    </row>
    <row r="9" spans="1:11" ht="15.75" x14ac:dyDescent="0.2">
      <c r="A9" s="25">
        <v>10</v>
      </c>
      <c r="B9" s="16" t="s">
        <v>33</v>
      </c>
      <c r="C9" s="16" t="str">
        <f>VLOOKUP(RIGHT(B9,8),'Các bảng tham chiếu &amp; Thống kê'!$B$14:$C$52,2,0)</f>
        <v>Huỳnh Thị Hồng Loan</v>
      </c>
      <c r="D9" s="13">
        <f>VLOOKUP(RIGHT(B9,8),'Điểm thực hành các buổi'!$B$3:$D$41,3,0)</f>
        <v>0.45</v>
      </c>
      <c r="E9" s="13">
        <f>VLOOKUP(RIGHT(B9,8),'Điểm thực hành các buổi'!$B$3:$F$41,4,0)</f>
        <v>0.4</v>
      </c>
      <c r="F9" s="13">
        <f>VLOOKUP(RIGHT(B9,8),'Điểm thực hành các buổi'!$B$3:$F$41,5,0)</f>
        <v>0.45</v>
      </c>
      <c r="G9" s="13">
        <f>VLOOKUP(RIGHT(B9,8),'Điểm bài tập lớn'!$B$3:$F$41,3,0)</f>
        <v>0</v>
      </c>
      <c r="H9" s="13">
        <f>VLOOKUP(RIGHT(B9,8),'Điểm lý thuyết'!$B$3:$F$41,3,0)</f>
        <v>6.8</v>
      </c>
      <c r="I9" s="13">
        <f t="shared" si="0"/>
        <v>5.4</v>
      </c>
      <c r="J9" s="23">
        <f>IF(OR(G9 = 0,INT(LEFT(B9,1)) &gt; 2),0,ROUND(I9+VLOOKUP(INT(LEFT(B9,1)), 'Các bảng tham chiếu &amp; Thống kê'!$E$3:$F$5, 2, 0),1))</f>
        <v>0</v>
      </c>
      <c r="K9" s="13" t="str">
        <f>VLOOKUP(J9, 'Các bảng tham chiếu &amp; Thống kê'!$A$3:$B$10, 2, 1)</f>
        <v>F</v>
      </c>
    </row>
    <row r="10" spans="1:11" ht="15.75" x14ac:dyDescent="0.2">
      <c r="A10" s="25">
        <v>11</v>
      </c>
      <c r="B10" s="16" t="s">
        <v>34</v>
      </c>
      <c r="C10" s="16" t="str">
        <f>VLOOKUP(RIGHT(B10,8),'Các bảng tham chiếu &amp; Thống kê'!$B$14:$C$52,2,0)</f>
        <v>Trần Thị Thanh Nguyên</v>
      </c>
      <c r="D10" s="13">
        <f>VLOOKUP(RIGHT(B10,8),'Điểm thực hành các buổi'!$B$3:$D$41,3,0)</f>
        <v>0.45</v>
      </c>
      <c r="E10" s="13">
        <f>VLOOKUP(RIGHT(B10,8),'Điểm thực hành các buổi'!$B$3:$F$41,4,0)</f>
        <v>0.4</v>
      </c>
      <c r="F10" s="13">
        <f>VLOOKUP(RIGHT(B10,8),'Điểm thực hành các buổi'!$B$3:$F$41,5,0)</f>
        <v>0.4</v>
      </c>
      <c r="G10" s="13">
        <f>VLOOKUP(RIGHT(B10,8),'Điểm bài tập lớn'!$B$3:$F$41,3,0)</f>
        <v>0.75</v>
      </c>
      <c r="H10" s="13">
        <f>VLOOKUP(RIGHT(B10,8),'Điểm lý thuyết'!$B$3:$F$41,3,0)</f>
        <v>6.3</v>
      </c>
      <c r="I10" s="13">
        <f t="shared" si="0"/>
        <v>5.8</v>
      </c>
      <c r="J10" s="23">
        <f>IF(OR(G10 = 0,INT(LEFT(B10,1)) &gt; 2),0,ROUND(I10+VLOOKUP(INT(LEFT(B10,1)), 'Các bảng tham chiếu &amp; Thống kê'!$E$3:$F$5, 2, 0),1))</f>
        <v>6.8</v>
      </c>
      <c r="K10" s="13" t="str">
        <f>VLOOKUP(J10, 'Các bảng tham chiếu &amp; Thống kê'!$A$3:$B$10, 2, 1)</f>
        <v>C+</v>
      </c>
    </row>
    <row r="11" spans="1:11" ht="15.75" x14ac:dyDescent="0.2">
      <c r="A11" s="25">
        <v>13</v>
      </c>
      <c r="B11" s="16" t="s">
        <v>60</v>
      </c>
      <c r="C11" s="16" t="str">
        <f>VLOOKUP(RIGHT(B11,8),'Các bảng tham chiếu &amp; Thống kê'!$B$14:$C$52,2,0)</f>
        <v>Vũ Mạnh Thắng</v>
      </c>
      <c r="D11" s="13">
        <f>VLOOKUP(RIGHT(B11,8),'Điểm thực hành các buổi'!$B$3:$D$41,3,0)</f>
        <v>0.4</v>
      </c>
      <c r="E11" s="13">
        <f>VLOOKUP(RIGHT(B11,8),'Điểm thực hành các buổi'!$B$3:$F$41,4,0)</f>
        <v>0.5</v>
      </c>
      <c r="F11" s="13">
        <f>VLOOKUP(RIGHT(B11,8),'Điểm thực hành các buổi'!$B$3:$F$41,5,0)</f>
        <v>0.5</v>
      </c>
      <c r="G11" s="13">
        <f>VLOOKUP(RIGHT(B11,8),'Điểm bài tập lớn'!$B$3:$F$41,3,0)</f>
        <v>1.2</v>
      </c>
      <c r="H11" s="13">
        <f>VLOOKUP(RIGHT(B11,8),'Điểm lý thuyết'!$B$3:$F$41,3,0)</f>
        <v>5.5</v>
      </c>
      <c r="I11" s="13">
        <f t="shared" si="0"/>
        <v>5.9</v>
      </c>
      <c r="J11" s="23">
        <f>IF(OR(G11 = 0,INT(LEFT(B11,1)) &gt; 2),0,ROUND(I11+VLOOKUP(INT(LEFT(B11,1)), 'Các bảng tham chiếu &amp; Thống kê'!$E$3:$F$5, 2, 0),1))</f>
        <v>6.9</v>
      </c>
      <c r="K11" s="13" t="str">
        <f>VLOOKUP(J11, 'Các bảng tham chiếu &amp; Thống kê'!$A$3:$B$10, 2, 1)</f>
        <v>C+</v>
      </c>
    </row>
    <row r="12" spans="1:11" ht="15.75" x14ac:dyDescent="0.2">
      <c r="A12" s="25">
        <v>14</v>
      </c>
      <c r="B12" s="16" t="s">
        <v>61</v>
      </c>
      <c r="C12" s="16" t="str">
        <f>VLOOKUP(RIGHT(B12,8),'Các bảng tham chiếu &amp; Thống kê'!$B$14:$C$52,2,0)</f>
        <v>Cao Ngọc Quyên</v>
      </c>
      <c r="D12" s="13">
        <f>VLOOKUP(RIGHT(B12,8),'Điểm thực hành các buổi'!$B$3:$D$41,3,0)</f>
        <v>0.5</v>
      </c>
      <c r="E12" s="13">
        <f>VLOOKUP(RIGHT(B12,8),'Điểm thực hành các buổi'!$B$3:$F$41,4,0)</f>
        <v>0.5</v>
      </c>
      <c r="F12" s="13">
        <f>VLOOKUP(RIGHT(B12,8),'Điểm thực hành các buổi'!$B$3:$F$41,5,0)</f>
        <v>0.45</v>
      </c>
      <c r="G12" s="13">
        <f>VLOOKUP(RIGHT(B12,8),'Điểm bài tập lớn'!$B$3:$F$41,3,0)</f>
        <v>0.3</v>
      </c>
      <c r="H12" s="13">
        <f>VLOOKUP(RIGHT(B12,8),'Điểm lý thuyết'!$B$3:$F$41,3,0)</f>
        <v>6</v>
      </c>
      <c r="I12" s="13">
        <f t="shared" si="0"/>
        <v>5.4</v>
      </c>
      <c r="J12" s="23">
        <f>IF(OR(G12 = 0,INT(LEFT(B12,1)) &gt; 2),0,ROUND(I12+VLOOKUP(INT(LEFT(B12,1)), 'Các bảng tham chiếu &amp; Thống kê'!$E$3:$F$5, 2, 0),1))</f>
        <v>6.4</v>
      </c>
      <c r="K12" s="13" t="str">
        <f>VLOOKUP(J12, 'Các bảng tham chiếu &amp; Thống kê'!$A$3:$B$10, 2, 1)</f>
        <v>C</v>
      </c>
    </row>
    <row r="13" spans="1:11" ht="15.75" x14ac:dyDescent="0.2">
      <c r="A13" s="25">
        <v>15</v>
      </c>
      <c r="B13" s="16" t="s">
        <v>36</v>
      </c>
      <c r="C13" s="16" t="str">
        <f>VLOOKUP(RIGHT(B13,8),'Các bảng tham chiếu &amp; Thống kê'!$B$14:$C$52,2,0)</f>
        <v>Nguyễn Chí Thanh</v>
      </c>
      <c r="D13" s="13">
        <f>VLOOKUP(RIGHT(B13,8),'Điểm thực hành các buổi'!$B$3:$D$41,3,0)</f>
        <v>0.4</v>
      </c>
      <c r="E13" s="13">
        <f>VLOOKUP(RIGHT(B13,8),'Điểm thực hành các buổi'!$B$3:$F$41,4,0)</f>
        <v>0.45</v>
      </c>
      <c r="F13" s="13">
        <f>VLOOKUP(RIGHT(B13,8),'Điểm thực hành các buổi'!$B$3:$F$41,5,0)</f>
        <v>0.4</v>
      </c>
      <c r="G13" s="13">
        <f>VLOOKUP(RIGHT(B13,8),'Điểm bài tập lớn'!$B$3:$F$41,3,0)</f>
        <v>0.3</v>
      </c>
      <c r="H13" s="13">
        <f>VLOOKUP(RIGHT(B13,8),'Điểm lý thuyết'!$B$3:$F$41,3,0)</f>
        <v>-3</v>
      </c>
      <c r="I13" s="13">
        <f t="shared" si="0"/>
        <v>0</v>
      </c>
      <c r="J13" s="23">
        <f>IF(OR(G13 = 0,INT(LEFT(B13,1)) &gt; 2),0,ROUND(I13+VLOOKUP(INT(LEFT(B13,1)), 'Các bảng tham chiếu &amp; Thống kê'!$E$3:$F$5, 2, 0),1))</f>
        <v>0</v>
      </c>
      <c r="K13" s="13" t="str">
        <f>VLOOKUP(J13, 'Các bảng tham chiếu &amp; Thống kê'!$A$3:$B$10, 2, 1)</f>
        <v>F</v>
      </c>
    </row>
    <row r="14" spans="1:11" ht="15.75" x14ac:dyDescent="0.2">
      <c r="A14" s="25">
        <v>16</v>
      </c>
      <c r="B14" s="16" t="s">
        <v>62</v>
      </c>
      <c r="C14" s="16" t="str">
        <f>VLOOKUP(RIGHT(B14,8),'Các bảng tham chiếu &amp; Thống kê'!$B$14:$C$52,2,0)</f>
        <v>Nguyễn Bích Ngân</v>
      </c>
      <c r="D14" s="13">
        <f>VLOOKUP(RIGHT(B14,8),'Điểm thực hành các buổi'!$B$3:$D$41,3,0)</f>
        <v>0.4</v>
      </c>
      <c r="E14" s="13">
        <f>VLOOKUP(RIGHT(B14,8),'Điểm thực hành các buổi'!$B$3:$F$41,4,0)</f>
        <v>0.45</v>
      </c>
      <c r="F14" s="13">
        <f>VLOOKUP(RIGHT(B14,8),'Điểm thực hành các buổi'!$B$3:$F$41,5,0)</f>
        <v>0.45</v>
      </c>
      <c r="G14" s="13">
        <f>VLOOKUP(RIGHT(B14,8),'Điểm bài tập lớn'!$B$3:$F$41,3,0)</f>
        <v>1</v>
      </c>
      <c r="H14" s="13">
        <f>VLOOKUP(RIGHT(B14,8),'Điểm lý thuyết'!$B$3:$F$41,3,0)</f>
        <v>5.7</v>
      </c>
      <c r="I14" s="13">
        <f t="shared" si="0"/>
        <v>5.7</v>
      </c>
      <c r="J14" s="23">
        <f>IF(OR(G14 = 0,INT(LEFT(B14,1)) &gt; 2),0,ROUND(I14+VLOOKUP(INT(LEFT(B14,1)), 'Các bảng tham chiếu &amp; Thống kê'!$E$3:$F$5, 2, 0),1))</f>
        <v>6.7</v>
      </c>
      <c r="K14" s="13" t="str">
        <f>VLOOKUP(J14, 'Các bảng tham chiếu &amp; Thống kê'!$A$3:$B$10, 2, 1)</f>
        <v>C+</v>
      </c>
    </row>
    <row r="15" spans="1:11" ht="15.75" x14ac:dyDescent="0.2">
      <c r="A15" s="25">
        <v>18</v>
      </c>
      <c r="B15" s="16" t="s">
        <v>63</v>
      </c>
      <c r="C15" s="16" t="str">
        <f>VLOOKUP(RIGHT(B15,8),'Các bảng tham chiếu &amp; Thống kê'!$B$14:$C$52,2,0)</f>
        <v>Nguyễn Hoàng Châu</v>
      </c>
      <c r="D15" s="13">
        <f>VLOOKUP(RIGHT(B15,8),'Điểm thực hành các buổi'!$B$3:$D$41,3,0)</f>
        <v>0.4</v>
      </c>
      <c r="E15" s="13">
        <f>VLOOKUP(RIGHT(B15,8),'Điểm thực hành các buổi'!$B$3:$F$41,4,0)</f>
        <v>0.4</v>
      </c>
      <c r="F15" s="13">
        <f>VLOOKUP(RIGHT(B15,8),'Điểm thực hành các buổi'!$B$3:$F$41,5,0)</f>
        <v>0.4</v>
      </c>
      <c r="G15" s="13">
        <f>VLOOKUP(RIGHT(B15,8),'Điểm bài tập lớn'!$B$3:$F$41,3,0)</f>
        <v>0.3</v>
      </c>
      <c r="H15" s="13">
        <f>VLOOKUP(RIGHT(B15,8),'Điểm lý thuyết'!$B$3:$F$41,3,0)</f>
        <v>6.5</v>
      </c>
      <c r="I15" s="13">
        <f t="shared" si="0"/>
        <v>5.4</v>
      </c>
      <c r="J15" s="23">
        <f>IF(OR(G15 = 0,INT(LEFT(B15,1)) &gt; 2),0,ROUND(I15+VLOOKUP(INT(LEFT(B15,1)), 'Các bảng tham chiếu &amp; Thống kê'!$E$3:$F$5, 2, 0),1))</f>
        <v>6.4</v>
      </c>
      <c r="K15" s="13" t="str">
        <f>VLOOKUP(J15, 'Các bảng tham chiếu &amp; Thống kê'!$A$3:$B$10, 2, 1)</f>
        <v>C</v>
      </c>
    </row>
    <row r="16" spans="1:11" ht="15.75" x14ac:dyDescent="0.2">
      <c r="A16" s="25">
        <v>19</v>
      </c>
      <c r="B16" s="16" t="s">
        <v>40</v>
      </c>
      <c r="C16" s="16" t="str">
        <f>VLOOKUP(RIGHT(B16,8),'Các bảng tham chiếu &amp; Thống kê'!$B$14:$C$52,2,0)</f>
        <v>Trần Nam Dương</v>
      </c>
      <c r="D16" s="13">
        <f>VLOOKUP(RIGHT(B16,8),'Điểm thực hành các buổi'!$B$3:$D$41,3,0)</f>
        <v>0.4</v>
      </c>
      <c r="E16" s="13">
        <f>VLOOKUP(RIGHT(B16,8),'Điểm thực hành các buổi'!$B$3:$F$41,4,0)</f>
        <v>0.4</v>
      </c>
      <c r="F16" s="13">
        <f>VLOOKUP(RIGHT(B16,8),'Điểm thực hành các buổi'!$B$3:$F$41,5,0)</f>
        <v>0.35</v>
      </c>
      <c r="G16" s="13">
        <f>VLOOKUP(RIGHT(B16,8),'Điểm bài tập lớn'!$B$3:$F$41,3,0)</f>
        <v>1.35</v>
      </c>
      <c r="H16" s="13">
        <f>VLOOKUP(RIGHT(B16,8),'Điểm lý thuyết'!$B$3:$F$41,3,0)</f>
        <v>-3</v>
      </c>
      <c r="I16" s="13">
        <f t="shared" si="0"/>
        <v>0</v>
      </c>
      <c r="J16" s="23">
        <f>IF(OR(G16 = 0,INT(LEFT(B16,1)) &gt; 2),0,ROUND(I16+VLOOKUP(INT(LEFT(B16,1)), 'Các bảng tham chiếu &amp; Thống kê'!$E$3:$F$5, 2, 0),1))</f>
        <v>0</v>
      </c>
      <c r="K16" s="13" t="str">
        <f>VLOOKUP(J16, 'Các bảng tham chiếu &amp; Thống kê'!$A$3:$B$10, 2, 1)</f>
        <v>F</v>
      </c>
    </row>
    <row r="17" spans="1:11" ht="15.75" x14ac:dyDescent="0.2">
      <c r="A17" s="25">
        <v>20</v>
      </c>
      <c r="B17" s="16" t="s">
        <v>42</v>
      </c>
      <c r="C17" s="16" t="str">
        <f>VLOOKUP(RIGHT(B17,8),'Các bảng tham chiếu &amp; Thống kê'!$B$14:$C$52,2,0)</f>
        <v>Đào Nguyễn Duy Khanh</v>
      </c>
      <c r="D17" s="13">
        <f>VLOOKUP(RIGHT(B17,8),'Điểm thực hành các buổi'!$B$3:$D$41,3,0)</f>
        <v>0.35</v>
      </c>
      <c r="E17" s="13">
        <f>VLOOKUP(RIGHT(B17,8),'Điểm thực hành các buổi'!$B$3:$F$41,4,0)</f>
        <v>0.4</v>
      </c>
      <c r="F17" s="13">
        <f>VLOOKUP(RIGHT(B17,8),'Điểm thực hành các buổi'!$B$3:$F$41,5,0)</f>
        <v>0</v>
      </c>
      <c r="G17" s="13">
        <f>VLOOKUP(RIGHT(B17,8),'Điểm bài tập lớn'!$B$3:$F$41,3,0)</f>
        <v>0.85</v>
      </c>
      <c r="H17" s="13">
        <f>VLOOKUP(RIGHT(B17,8),'Điểm lý thuyết'!$B$3:$F$41,3,0)</f>
        <v>6.5</v>
      </c>
      <c r="I17" s="13">
        <f t="shared" si="0"/>
        <v>5.5</v>
      </c>
      <c r="J17" s="23">
        <f>IF(OR(G17 = 0,INT(LEFT(B17,1)) &gt; 2),0,ROUND(I17+VLOOKUP(INT(LEFT(B17,1)), 'Các bảng tham chiếu &amp; Thống kê'!$E$3:$F$5, 2, 0),1))</f>
        <v>6.5</v>
      </c>
      <c r="K17" s="13" t="str">
        <f>VLOOKUP(J17, 'Các bảng tham chiếu &amp; Thống kê'!$A$3:$B$10, 2, 1)</f>
        <v>C+</v>
      </c>
    </row>
    <row r="18" spans="1:11" ht="15.75" x14ac:dyDescent="0.2">
      <c r="A18" s="25">
        <v>22</v>
      </c>
      <c r="B18" s="16" t="s">
        <v>65</v>
      </c>
      <c r="C18" s="16" t="str">
        <f>VLOOKUP(RIGHT(B18,8),'Các bảng tham chiếu &amp; Thống kê'!$B$14:$C$52,2,0)</f>
        <v>Lê Thanh Tùng</v>
      </c>
      <c r="D18" s="13">
        <f>VLOOKUP(RIGHT(B18,8),'Điểm thực hành các buổi'!$B$3:$D$41,3,0)</f>
        <v>0.4</v>
      </c>
      <c r="E18" s="13">
        <f>VLOOKUP(RIGHT(B18,8),'Điểm thực hành các buổi'!$B$3:$F$41,4,0)</f>
        <v>0.4</v>
      </c>
      <c r="F18" s="13">
        <f>VLOOKUP(RIGHT(B18,8),'Điểm thực hành các buổi'!$B$3:$F$41,5,0)</f>
        <v>0.4</v>
      </c>
      <c r="G18" s="13">
        <f>VLOOKUP(RIGHT(B18,8),'Điểm bài tập lớn'!$B$3:$F$41,3,0)</f>
        <v>0</v>
      </c>
      <c r="H18" s="13">
        <f>VLOOKUP(RIGHT(B18,8),'Điểm lý thuyết'!$B$3:$F$41,3,0)</f>
        <v>4.5</v>
      </c>
      <c r="I18" s="13">
        <f t="shared" si="0"/>
        <v>3.9</v>
      </c>
      <c r="J18" s="23">
        <f>IF(OR(G18 = 0,INT(LEFT(B18,1)) &gt; 2),0,ROUND(I18+VLOOKUP(INT(LEFT(B18,1)), 'Các bảng tham chiếu &amp; Thống kê'!$E$3:$F$5, 2, 0),1))</f>
        <v>0</v>
      </c>
      <c r="K18" s="13" t="str">
        <f>VLOOKUP(J18, 'Các bảng tham chiếu &amp; Thống kê'!$A$3:$B$10, 2, 1)</f>
        <v>F</v>
      </c>
    </row>
    <row r="19" spans="1:11" ht="15.75" x14ac:dyDescent="0.2">
      <c r="A19" s="25">
        <v>25</v>
      </c>
      <c r="B19" s="16" t="s">
        <v>68</v>
      </c>
      <c r="C19" s="16" t="str">
        <f>VLOOKUP(RIGHT(B19,8),'Các bảng tham chiếu &amp; Thống kê'!$B$14:$C$52,2,0)</f>
        <v>Hồ Thị Mỷ Huyền</v>
      </c>
      <c r="D19" s="13">
        <f>VLOOKUP(RIGHT(B19,8),'Điểm thực hành các buổi'!$B$3:$D$41,3,0)</f>
        <v>0.3</v>
      </c>
      <c r="E19" s="13">
        <f>VLOOKUP(RIGHT(B19,8),'Điểm thực hành các buổi'!$B$3:$F$41,4,0)</f>
        <v>0.3</v>
      </c>
      <c r="F19" s="13">
        <f>VLOOKUP(RIGHT(B19,8),'Điểm thực hành các buổi'!$B$3:$F$41,5,0)</f>
        <v>0.4</v>
      </c>
      <c r="G19" s="13">
        <f>VLOOKUP(RIGHT(B19,8),'Điểm bài tập lớn'!$B$3:$F$41,3,0)</f>
        <v>0.75</v>
      </c>
      <c r="H19" s="13">
        <f>VLOOKUP(RIGHT(B19,8),'Điểm lý thuyết'!$B$3:$F$41,3,0)</f>
        <v>6.8</v>
      </c>
      <c r="I19" s="13">
        <f t="shared" si="0"/>
        <v>5.8</v>
      </c>
      <c r="J19" s="23">
        <f>IF(OR(G19 = 0,INT(LEFT(B19,1)) &gt; 2),0,ROUND(I19+VLOOKUP(INT(LEFT(B19,1)), 'Các bảng tham chiếu &amp; Thống kê'!$E$3:$F$5, 2, 0),1))</f>
        <v>6.3</v>
      </c>
      <c r="K19" s="13" t="str">
        <f>VLOOKUP(J19, 'Các bảng tham chiếu &amp; Thống kê'!$A$3:$B$10, 2, 1)</f>
        <v>C</v>
      </c>
    </row>
    <row r="20" spans="1:11" ht="15.75" x14ac:dyDescent="0.2">
      <c r="A20" s="25">
        <v>29</v>
      </c>
      <c r="B20" s="16" t="s">
        <v>43</v>
      </c>
      <c r="C20" s="16" t="str">
        <f>VLOOKUP(RIGHT(B20,8),'Các bảng tham chiếu &amp; Thống kê'!$B$14:$C$52,2,0)</f>
        <v>Lại Ngọc Hoàng Phi</v>
      </c>
      <c r="D20" s="13">
        <f>VLOOKUP(RIGHT(B20,8),'Điểm thực hành các buổi'!$B$3:$D$41,3,0)</f>
        <v>0.5</v>
      </c>
      <c r="E20" s="13">
        <f>VLOOKUP(RIGHT(B20,8),'Điểm thực hành các buổi'!$B$3:$F$41,4,0)</f>
        <v>0.5</v>
      </c>
      <c r="F20" s="13">
        <f>VLOOKUP(RIGHT(B20,8),'Điểm thực hành các buổi'!$B$3:$F$41,5,0)</f>
        <v>0.5</v>
      </c>
      <c r="G20" s="13">
        <f>VLOOKUP(RIGHT(B20,8),'Điểm bài tập lớn'!$B$3:$F$41,3,0)</f>
        <v>0</v>
      </c>
      <c r="H20" s="13">
        <f>VLOOKUP(RIGHT(B20,8),'Điểm lý thuyết'!$B$3:$F$41,3,0)</f>
        <v>7.7</v>
      </c>
      <c r="I20" s="13">
        <f t="shared" si="0"/>
        <v>6.1</v>
      </c>
      <c r="J20" s="23">
        <f>IF(OR(G20 = 0,INT(LEFT(B20,1)) &gt; 2),0,ROUND(I20+VLOOKUP(INT(LEFT(B20,1)), 'Các bảng tham chiếu &amp; Thống kê'!$E$3:$F$5, 2, 0),1))</f>
        <v>0</v>
      </c>
      <c r="K20" s="13" t="str">
        <f>VLOOKUP(J20, 'Các bảng tham chiếu &amp; Thống kê'!$A$3:$B$10, 2, 1)</f>
        <v>F</v>
      </c>
    </row>
    <row r="21" spans="1:11" ht="15.75" x14ac:dyDescent="0.2">
      <c r="A21" s="25">
        <v>30</v>
      </c>
      <c r="B21" s="16" t="s">
        <v>72</v>
      </c>
      <c r="C21" s="16" t="str">
        <f>VLOOKUP(RIGHT(B21,8),'Các bảng tham chiếu &amp; Thống kê'!$B$14:$C$52,2,0)</f>
        <v>Nguyễn Khắc Minh Phúc</v>
      </c>
      <c r="D21" s="13">
        <f>VLOOKUP(RIGHT(B21,8),'Điểm thực hành các buổi'!$B$3:$D$41,3,0)</f>
        <v>0.5</v>
      </c>
      <c r="E21" s="13">
        <f>VLOOKUP(RIGHT(B21,8),'Điểm thực hành các buổi'!$B$3:$F$41,4,0)</f>
        <v>0.4</v>
      </c>
      <c r="F21" s="13">
        <f>VLOOKUP(RIGHT(B21,8),'Điểm thực hành các buổi'!$B$3:$F$41,5,0)</f>
        <v>0.45</v>
      </c>
      <c r="G21" s="13">
        <f>VLOOKUP(RIGHT(B21,8),'Điểm bài tập lớn'!$B$3:$F$41,3,0)</f>
        <v>1</v>
      </c>
      <c r="H21" s="13">
        <f>VLOOKUP(RIGHT(B21,8),'Điểm lý thuyết'!$B$3:$F$41,3,0)</f>
        <v>-3</v>
      </c>
      <c r="I21" s="13">
        <f t="shared" si="0"/>
        <v>0</v>
      </c>
      <c r="J21" s="23">
        <f>IF(OR(G21 = 0,INT(LEFT(B21,1)) &gt; 2),0,ROUND(I21+VLOOKUP(INT(LEFT(B21,1)), 'Các bảng tham chiếu &amp; Thống kê'!$E$3:$F$5, 2, 0),1))</f>
        <v>0</v>
      </c>
      <c r="K21" s="13" t="str">
        <f>VLOOKUP(J21, 'Các bảng tham chiếu &amp; Thống kê'!$A$3:$B$10, 2, 1)</f>
        <v>F</v>
      </c>
    </row>
    <row r="22" spans="1:11" ht="15.75" x14ac:dyDescent="0.2">
      <c r="A22" s="25">
        <v>33</v>
      </c>
      <c r="B22" s="16" t="s">
        <v>75</v>
      </c>
      <c r="C22" s="16" t="str">
        <f>VLOOKUP(RIGHT(B22,8),'Các bảng tham chiếu &amp; Thống kê'!$B$14:$C$52,2,0)</f>
        <v>Nguyễn Thị Phương Thảo</v>
      </c>
      <c r="D22" s="13">
        <f>VLOOKUP(RIGHT(B22,8),'Điểm thực hành các buổi'!$B$3:$D$41,3,0)</f>
        <v>0.4</v>
      </c>
      <c r="E22" s="13">
        <f>VLOOKUP(RIGHT(B22,8),'Điểm thực hành các buổi'!$B$3:$F$41,4,0)</f>
        <v>0.45</v>
      </c>
      <c r="F22" s="13">
        <f>VLOOKUP(RIGHT(B22,8),'Điểm thực hành các buổi'!$B$3:$F$41,5,0)</f>
        <v>0.45</v>
      </c>
      <c r="G22" s="13">
        <f>VLOOKUP(RIGHT(B22,8),'Điểm bài tập lớn'!$B$3:$F$41,3,0)</f>
        <v>1</v>
      </c>
      <c r="H22" s="13">
        <f>VLOOKUP(RIGHT(B22,8),'Điểm lý thuyết'!$B$3:$F$41,3,0)</f>
        <v>-3</v>
      </c>
      <c r="I22" s="13">
        <f t="shared" si="0"/>
        <v>0</v>
      </c>
      <c r="J22" s="23">
        <f>IF(OR(G22 = 0,INT(LEFT(B22,1)) &gt; 2),0,ROUND(I22+VLOOKUP(INT(LEFT(B22,1)), 'Các bảng tham chiếu &amp; Thống kê'!$E$3:$F$5, 2, 0),1))</f>
        <v>0</v>
      </c>
      <c r="K22" s="13" t="str">
        <f>VLOOKUP(J22, 'Các bảng tham chiếu &amp; Thống kê'!$A$3:$B$10, 2, 1)</f>
        <v>F</v>
      </c>
    </row>
    <row r="23" spans="1:11" ht="15.75" x14ac:dyDescent="0.2">
      <c r="A23" s="25">
        <v>35</v>
      </c>
      <c r="B23" s="16" t="s">
        <v>77</v>
      </c>
      <c r="C23" s="16" t="str">
        <f>VLOOKUP(RIGHT(B23,8),'Các bảng tham chiếu &amp; Thống kê'!$B$14:$C$52,2,0)</f>
        <v>Trịnh Uyên</v>
      </c>
      <c r="D23" s="13">
        <f>VLOOKUP(RIGHT(B23,8),'Điểm thực hành các buổi'!$B$3:$D$41,3,0)</f>
        <v>0.5</v>
      </c>
      <c r="E23" s="13">
        <f>VLOOKUP(RIGHT(B23,8),'Điểm thực hành các buổi'!$B$3:$F$41,4,0)</f>
        <v>0</v>
      </c>
      <c r="F23" s="13">
        <f>VLOOKUP(RIGHT(B23,8),'Điểm thực hành các buổi'!$B$3:$F$41,5,0)</f>
        <v>0</v>
      </c>
      <c r="G23" s="13">
        <f>VLOOKUP(RIGHT(B23,8),'Điểm bài tập lớn'!$B$3:$F$41,3,0)</f>
        <v>0</v>
      </c>
      <c r="H23" s="13">
        <f>VLOOKUP(RIGHT(B23,8),'Điểm lý thuyết'!$B$3:$F$41,3,0)</f>
        <v>7.5</v>
      </c>
      <c r="I23" s="13">
        <f t="shared" si="0"/>
        <v>5</v>
      </c>
      <c r="J23" s="23">
        <f>IF(OR(G23 = 0,INT(LEFT(B23,1)) &gt; 2),0,ROUND(I23+VLOOKUP(INT(LEFT(B23,1)), 'Các bảng tham chiếu &amp; Thống kê'!$E$3:$F$5, 2, 0),1))</f>
        <v>0</v>
      </c>
      <c r="K23" s="13" t="str">
        <f>VLOOKUP(J23, 'Các bảng tham chiếu &amp; Thống kê'!$A$3:$B$10, 2, 1)</f>
        <v>F</v>
      </c>
    </row>
    <row r="24" spans="1:11" ht="15.75" x14ac:dyDescent="0.2">
      <c r="A24" s="25">
        <v>36</v>
      </c>
      <c r="B24" s="16" t="s">
        <v>78</v>
      </c>
      <c r="C24" s="16" t="str">
        <f>VLOOKUP(RIGHT(B24,8),'Các bảng tham chiếu &amp; Thống kê'!$B$14:$C$52,2,0)</f>
        <v>Nguyễn Anh Thư</v>
      </c>
      <c r="D24" s="13">
        <f>VLOOKUP(RIGHT(B24,8),'Điểm thực hành các buổi'!$B$3:$D$41,3,0)</f>
        <v>0.5</v>
      </c>
      <c r="E24" s="13">
        <f>VLOOKUP(RIGHT(B24,8),'Điểm thực hành các buổi'!$B$3:$F$41,4,0)</f>
        <v>0.35</v>
      </c>
      <c r="F24" s="13">
        <f>VLOOKUP(RIGHT(B24,8),'Điểm thực hành các buổi'!$B$3:$F$41,5,0)</f>
        <v>0.45</v>
      </c>
      <c r="G24" s="13">
        <f>VLOOKUP(RIGHT(B24,8),'Điểm bài tập lớn'!$B$3:$F$41,3,0)</f>
        <v>0.5</v>
      </c>
      <c r="H24" s="13">
        <f>VLOOKUP(RIGHT(B24,8),'Điểm lý thuyết'!$B$3:$F$41,3,0)</f>
        <v>5.5</v>
      </c>
      <c r="I24" s="13">
        <f t="shared" si="0"/>
        <v>5.0999999999999996</v>
      </c>
      <c r="J24" s="23">
        <f>IF(OR(G24 = 0,INT(LEFT(B24,1)) &gt; 2),0,ROUND(I24+VLOOKUP(INT(LEFT(B24,1)), 'Các bảng tham chiếu &amp; Thống kê'!$E$3:$F$5, 2, 0),1))</f>
        <v>5.6</v>
      </c>
      <c r="K24" s="13" t="str">
        <f>VLOOKUP(J24, 'Các bảng tham chiếu &amp; Thống kê'!$A$3:$B$10, 2, 1)</f>
        <v>C</v>
      </c>
    </row>
    <row r="25" spans="1:11" ht="15.75" x14ac:dyDescent="0.2">
      <c r="A25" s="25">
        <v>37</v>
      </c>
      <c r="B25" s="16" t="s">
        <v>79</v>
      </c>
      <c r="C25" s="16" t="str">
        <f>VLOOKUP(RIGHT(B25,8),'Các bảng tham chiếu &amp; Thống kê'!$B$14:$C$52,2,0)</f>
        <v>Huỳnh Lê Tỷ</v>
      </c>
      <c r="D25" s="13">
        <f>VLOOKUP(RIGHT(B25,8),'Điểm thực hành các buổi'!$B$3:$D$41,3,0)</f>
        <v>0.5</v>
      </c>
      <c r="E25" s="13">
        <f>VLOOKUP(RIGHT(B25,8),'Điểm thực hành các buổi'!$B$3:$F$41,4,0)</f>
        <v>0.4</v>
      </c>
      <c r="F25" s="13">
        <f>VLOOKUP(RIGHT(B25,8),'Điểm thực hành các buổi'!$B$3:$F$41,5,0)</f>
        <v>0.4</v>
      </c>
      <c r="G25" s="13">
        <f>VLOOKUP(RIGHT(B25,8),'Điểm bài tập lớn'!$B$3:$F$41,3,0)</f>
        <v>0.3</v>
      </c>
      <c r="H25" s="13">
        <f>VLOOKUP(RIGHT(B25,8),'Điểm lý thuyết'!$B$3:$F$41,3,0)</f>
        <v>6.7</v>
      </c>
      <c r="I25" s="13">
        <f t="shared" si="0"/>
        <v>5.6</v>
      </c>
      <c r="J25" s="23">
        <f>IF(OR(G25 = 0,INT(LEFT(B25,1)) &gt; 2),0,ROUND(I25+VLOOKUP(INT(LEFT(B25,1)), 'Các bảng tham chiếu &amp; Thống kê'!$E$3:$F$5, 2, 0),1))</f>
        <v>6.6</v>
      </c>
      <c r="K25" s="13" t="str">
        <f>VLOOKUP(J25, 'Các bảng tham chiếu &amp; Thống kê'!$A$3:$B$10, 2, 1)</f>
        <v>C+</v>
      </c>
    </row>
    <row r="26" spans="1:11" ht="15.75" x14ac:dyDescent="0.2">
      <c r="A26" s="25">
        <v>38</v>
      </c>
      <c r="B26" s="16" t="s">
        <v>80</v>
      </c>
      <c r="C26" s="16" t="str">
        <f>VLOOKUP(RIGHT(B26,8),'Các bảng tham chiếu &amp; Thống kê'!$B$14:$C$52,2,0)</f>
        <v>Nguyễn Ngọc Luyến</v>
      </c>
      <c r="D26" s="13">
        <f>VLOOKUP(RIGHT(B26,8),'Điểm thực hành các buổi'!$B$3:$D$41,3,0)</f>
        <v>0.3</v>
      </c>
      <c r="E26" s="13">
        <f>VLOOKUP(RIGHT(B26,8),'Điểm thực hành các buổi'!$B$3:$F$41,4,0)</f>
        <v>0.4</v>
      </c>
      <c r="F26" s="13">
        <f>VLOOKUP(RIGHT(B26,8),'Điểm thực hành các buổi'!$B$3:$F$41,5,0)</f>
        <v>0.45</v>
      </c>
      <c r="G26" s="13">
        <f>VLOOKUP(RIGHT(B26,8),'Điểm bài tập lớn'!$B$3:$F$41,3,0)</f>
        <v>1</v>
      </c>
      <c r="H26" s="13">
        <f>VLOOKUP(RIGHT(B26,8),'Điểm lý thuyết'!$B$3:$F$41,3,0)</f>
        <v>5.5</v>
      </c>
      <c r="I26" s="13">
        <f t="shared" si="0"/>
        <v>5.5</v>
      </c>
      <c r="J26" s="23">
        <f>IF(OR(G26 = 0,INT(LEFT(B26,1)) &gt; 2),0,ROUND(I26+VLOOKUP(INT(LEFT(B26,1)), 'Các bảng tham chiếu &amp; Thống kê'!$E$3:$F$5, 2, 0),1))</f>
        <v>6.5</v>
      </c>
      <c r="K26" s="13" t="str">
        <f>VLOOKUP(J26, 'Các bảng tham chiếu &amp; Thống kê'!$A$3:$B$10, 2, 1)</f>
        <v>C+</v>
      </c>
    </row>
    <row r="27" spans="1:11" ht="15.75" x14ac:dyDescent="0.2">
      <c r="A27" s="25">
        <v>39</v>
      </c>
      <c r="B27" s="16" t="s">
        <v>81</v>
      </c>
      <c r="C27" s="16" t="str">
        <f>VLOOKUP(RIGHT(B27,8),'Các bảng tham chiếu &amp; Thống kê'!$B$14:$C$52,2,0)</f>
        <v>Võ Thị Thùy Trang</v>
      </c>
      <c r="D27" s="13">
        <f>VLOOKUP(RIGHT(B27,8),'Điểm thực hành các buổi'!$B$3:$D$41,3,0)</f>
        <v>0.4</v>
      </c>
      <c r="E27" s="13">
        <f>VLOOKUP(RIGHT(B27,8),'Điểm thực hành các buổi'!$B$3:$F$41,4,0)</f>
        <v>0.4</v>
      </c>
      <c r="F27" s="13">
        <f>VLOOKUP(RIGHT(B27,8),'Điểm thực hành các buổi'!$B$3:$F$41,5,0)</f>
        <v>0.4</v>
      </c>
      <c r="G27" s="13">
        <f>VLOOKUP(RIGHT(B27,8),'Điểm bài tập lớn'!$B$3:$F$41,3,0)</f>
        <v>0.75</v>
      </c>
      <c r="H27" s="13">
        <f>VLOOKUP(RIGHT(B27,8),'Điểm lý thuyết'!$B$3:$F$41,3,0)</f>
        <v>3.2</v>
      </c>
      <c r="I27" s="13">
        <f t="shared" si="0"/>
        <v>3.9</v>
      </c>
      <c r="J27" s="23">
        <f>IF(OR(G27 = 0,INT(LEFT(B27,1)) &gt; 2),0,ROUND(I27+VLOOKUP(INT(LEFT(B27,1)), 'Các bảng tham chiếu &amp; Thống kê'!$E$3:$F$5, 2, 0),1))</f>
        <v>4.4000000000000004</v>
      </c>
      <c r="K27" s="13" t="str">
        <f>VLOOKUP(J27, 'Các bảng tham chiếu &amp; Thống kê'!$A$3:$B$10, 2, 1)</f>
        <v>D</v>
      </c>
    </row>
  </sheetData>
  <conditionalFormatting sqref="J2:K27">
    <cfRule type="cellIs" dxfId="43" priority="1" operator="lessThan">
      <formula>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18" sqref="K18"/>
    </sheetView>
  </sheetViews>
  <sheetFormatPr defaultRowHeight="12.75" x14ac:dyDescent="0.2"/>
  <cols>
    <col min="1" max="1" width="6.6640625" bestFit="1" customWidth="1"/>
    <col min="2" max="2" width="15.6640625"/>
    <col min="3" max="3" width="31.6640625" bestFit="1" customWidth="1"/>
    <col min="4" max="9" width="15.6640625"/>
    <col min="10" max="10" width="19.6640625" customWidth="1"/>
  </cols>
  <sheetData>
    <row r="1" spans="1:11" ht="31.5" x14ac:dyDescent="0.2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15.75" x14ac:dyDescent="0.2">
      <c r="A2" s="25">
        <v>6</v>
      </c>
      <c r="B2" s="16" t="s">
        <v>30</v>
      </c>
      <c r="C2" s="16" t="str">
        <f>VLOOKUP(RIGHT(B2,8),'Các bảng tham chiếu &amp; Thống kê'!$B$14:$C$52,2,0)</f>
        <v>Phạm Thị Huỳnh Như</v>
      </c>
      <c r="D2" s="13">
        <f>VLOOKUP(RIGHT(B2,8),'Điểm thực hành các buổi'!$B$3:$D$41,3,0)</f>
        <v>0.4</v>
      </c>
      <c r="E2" s="13">
        <f>VLOOKUP(RIGHT(B2,8),'Điểm thực hành các buổi'!$B$3:$F$41,4,0)</f>
        <v>0.45</v>
      </c>
      <c r="F2" s="13">
        <f>VLOOKUP(RIGHT(B2,8),'Điểm thực hành các buổi'!$B$3:$F$41,5,0)</f>
        <v>0.5</v>
      </c>
      <c r="G2" s="13">
        <f>VLOOKUP(RIGHT(B2,8),'Điểm bài tập lớn'!$B$3:$F$41,3,0)</f>
        <v>1.2</v>
      </c>
      <c r="H2" s="13">
        <f>VLOOKUP(RIGHT(B2,8),'Điểm lý thuyết'!$B$3:$F$41,3,0)</f>
        <v>7.5</v>
      </c>
      <c r="I2" s="13">
        <f t="shared" ref="I2:I14" si="0">ROUND(IF(H2 = -3,0,SUM(D2:G2)+0.6*H2),1)</f>
        <v>7.1</v>
      </c>
      <c r="J2" s="23">
        <f>IF(OR(G2 = 0,INT(LEFT(B2,1)) &gt; 2),0,ROUND(I2+VLOOKUP(INT(LEFT(B2,1)), 'Các bảng tham chiếu &amp; Thống kê'!$E$3:$F$5, 2, 0),1))</f>
        <v>8.1</v>
      </c>
      <c r="K2" s="13" t="str">
        <f>VLOOKUP(J2, 'Các bảng tham chiếu &amp; Thống kê'!$A$3:$B$10, 2, 1)</f>
        <v>B+</v>
      </c>
    </row>
    <row r="3" spans="1:11" ht="15.75" x14ac:dyDescent="0.2">
      <c r="A3" s="25">
        <v>8</v>
      </c>
      <c r="B3" s="16" t="s">
        <v>58</v>
      </c>
      <c r="C3" s="16" t="str">
        <f>VLOOKUP(RIGHT(B3,8),'Các bảng tham chiếu &amp; Thống kê'!$B$14:$C$52,2,0)</f>
        <v>Quách Thu Vân</v>
      </c>
      <c r="D3" s="13">
        <f>VLOOKUP(RIGHT(B3,8),'Điểm thực hành các buổi'!$B$3:$D$41,3,0)</f>
        <v>0.45</v>
      </c>
      <c r="E3" s="13">
        <f>VLOOKUP(RIGHT(B3,8),'Điểm thực hành các buổi'!$B$3:$F$41,4,0)</f>
        <v>0.4</v>
      </c>
      <c r="F3" s="13">
        <f>VLOOKUP(RIGHT(B3,8),'Điểm thực hành các buổi'!$B$3:$F$41,5,0)</f>
        <v>0.4</v>
      </c>
      <c r="G3" s="13">
        <f>VLOOKUP(RIGHT(B3,8),'Điểm bài tập lớn'!$B$3:$F$41,3,0)</f>
        <v>1</v>
      </c>
      <c r="H3" s="13">
        <f>VLOOKUP(RIGHT(B3,8),'Điểm lý thuyết'!$B$3:$F$41,3,0)</f>
        <v>7.7</v>
      </c>
      <c r="I3" s="13">
        <f t="shared" si="0"/>
        <v>6.9</v>
      </c>
      <c r="J3" s="23">
        <f>IF(OR(G3 = 0,INT(LEFT(B3,1)) &gt; 2),0,ROUND(I3+VLOOKUP(INT(LEFT(B3,1)), 'Các bảng tham chiếu &amp; Thống kê'!$E$3:$F$5, 2, 0),1))</f>
        <v>7.9</v>
      </c>
      <c r="K3" s="13" t="str">
        <f>VLOOKUP(J3, 'Các bảng tham chiếu &amp; Thống kê'!$A$3:$B$10, 2, 1)</f>
        <v>B</v>
      </c>
    </row>
    <row r="4" spans="1:11" ht="15.75" x14ac:dyDescent="0.2">
      <c r="A4" s="25">
        <v>12</v>
      </c>
      <c r="B4" s="16" t="s">
        <v>35</v>
      </c>
      <c r="C4" s="16" t="str">
        <f>VLOOKUP(RIGHT(B4,8),'Các bảng tham chiếu &amp; Thống kê'!$B$14:$C$52,2,0)</f>
        <v>Nguyễn Thị Thúy Nga</v>
      </c>
      <c r="D4" s="13">
        <f>VLOOKUP(RIGHT(B4,8),'Điểm thực hành các buổi'!$B$3:$D$41,3,0)</f>
        <v>0.3</v>
      </c>
      <c r="E4" s="13">
        <f>VLOOKUP(RIGHT(B4,8),'Điểm thực hành các buổi'!$B$3:$F$41,4,0)</f>
        <v>0.5</v>
      </c>
      <c r="F4" s="13">
        <f>VLOOKUP(RIGHT(B4,8),'Điểm thực hành các buổi'!$B$3:$F$41,5,0)</f>
        <v>0.45</v>
      </c>
      <c r="G4" s="13">
        <f>VLOOKUP(RIGHT(B4,8),'Điểm bài tập lớn'!$B$3:$F$41,3,0)</f>
        <v>0.3</v>
      </c>
      <c r="H4" s="13">
        <f>VLOOKUP(RIGHT(B4,8),'Điểm lý thuyết'!$B$3:$F$41,3,0)</f>
        <v>8.3000000000000007</v>
      </c>
      <c r="I4" s="13">
        <f t="shared" si="0"/>
        <v>6.5</v>
      </c>
      <c r="J4" s="23">
        <f>IF(OR(G4 = 0,INT(LEFT(B4,1)) &gt; 2),0,ROUND(I4+VLOOKUP(INT(LEFT(B4,1)), 'Các bảng tham chiếu &amp; Thống kê'!$E$3:$F$5, 2, 0),1))</f>
        <v>7</v>
      </c>
      <c r="K4" s="13" t="str">
        <f>VLOOKUP(J4, 'Các bảng tham chiếu &amp; Thống kê'!$A$3:$B$10, 2, 1)</f>
        <v>B</v>
      </c>
    </row>
    <row r="5" spans="1:11" ht="15.75" x14ac:dyDescent="0.2">
      <c r="A5" s="25">
        <v>17</v>
      </c>
      <c r="B5" s="16" t="s">
        <v>38</v>
      </c>
      <c r="C5" s="16" t="str">
        <f>VLOOKUP(RIGHT(B5,8),'Các bảng tham chiếu &amp; Thống kê'!$B$14:$C$52,2,0)</f>
        <v>Nguyễn Hải Anh</v>
      </c>
      <c r="D5" s="13">
        <f>VLOOKUP(RIGHT(B5,8),'Điểm thực hành các buổi'!$B$3:$D$41,3,0)</f>
        <v>0.5</v>
      </c>
      <c r="E5" s="13">
        <f>VLOOKUP(RIGHT(B5,8),'Điểm thực hành các buổi'!$B$3:$F$41,4,0)</f>
        <v>0.5</v>
      </c>
      <c r="F5" s="13">
        <f>VLOOKUP(RIGHT(B5,8),'Điểm thực hành các buổi'!$B$3:$F$41,5,0)</f>
        <v>0.45</v>
      </c>
      <c r="G5" s="13">
        <f>VLOOKUP(RIGHT(B5,8),'Điểm bài tập lớn'!$B$3:$F$41,3,0)</f>
        <v>1.5</v>
      </c>
      <c r="H5" s="13">
        <f>VLOOKUP(RIGHT(B5,8),'Điểm lý thuyết'!$B$3:$F$41,3,0)</f>
        <v>7</v>
      </c>
      <c r="I5" s="13">
        <f t="shared" si="0"/>
        <v>7.2</v>
      </c>
      <c r="J5" s="23">
        <f>IF(OR(G5 = 0,INT(LEFT(B5,1)) &gt; 2),0,ROUND(I5+VLOOKUP(INT(LEFT(B5,1)), 'Các bảng tham chiếu &amp; Thống kê'!$E$3:$F$5, 2, 0),1))</f>
        <v>7.5</v>
      </c>
      <c r="K5" s="13" t="str">
        <f>VLOOKUP(J5, 'Các bảng tham chiếu &amp; Thống kê'!$A$3:$B$10, 2, 1)</f>
        <v>B</v>
      </c>
    </row>
    <row r="6" spans="1:11" ht="15.75" x14ac:dyDescent="0.2">
      <c r="A6" s="25">
        <v>21</v>
      </c>
      <c r="B6" s="16" t="s">
        <v>64</v>
      </c>
      <c r="C6" s="16" t="str">
        <f>VLOOKUP(RIGHT(B6,8),'Các bảng tham chiếu &amp; Thống kê'!$B$14:$C$52,2,0)</f>
        <v>Ngô Hùng Vĩ</v>
      </c>
      <c r="D6" s="13">
        <f>VLOOKUP(RIGHT(B6,8),'Điểm thực hành các buổi'!$B$3:$D$41,3,0)</f>
        <v>0.5</v>
      </c>
      <c r="E6" s="13">
        <f>VLOOKUP(RIGHT(B6,8),'Điểm thực hành các buổi'!$B$3:$F$41,4,0)</f>
        <v>0.4</v>
      </c>
      <c r="F6" s="13">
        <f>VLOOKUP(RIGHT(B6,8),'Điểm thực hành các buổi'!$B$3:$F$41,5,0)</f>
        <v>0.45</v>
      </c>
      <c r="G6" s="13">
        <f>VLOOKUP(RIGHT(B6,8),'Điểm bài tập lớn'!$B$3:$F$41,3,0)</f>
        <v>1.35</v>
      </c>
      <c r="H6" s="13">
        <f>VLOOKUP(RIGHT(B6,8),'Điểm lý thuyết'!$B$3:$F$41,3,0)</f>
        <v>6.7</v>
      </c>
      <c r="I6" s="13">
        <f t="shared" si="0"/>
        <v>6.7</v>
      </c>
      <c r="J6" s="23">
        <f>IF(OR(G6 = 0,INT(LEFT(B6,1)) &gt; 2),0,ROUND(I6+VLOOKUP(INT(LEFT(B6,1)), 'Các bảng tham chiếu &amp; Thống kê'!$E$3:$F$5, 2, 0),1))</f>
        <v>7.7</v>
      </c>
      <c r="K6" s="13" t="str">
        <f>VLOOKUP(J6, 'Các bảng tham chiếu &amp; Thống kê'!$A$3:$B$10, 2, 1)</f>
        <v>B</v>
      </c>
    </row>
    <row r="7" spans="1:11" ht="15.75" x14ac:dyDescent="0.2">
      <c r="A7" s="25">
        <v>23</v>
      </c>
      <c r="B7" s="16" t="s">
        <v>66</v>
      </c>
      <c r="C7" s="16" t="str">
        <f>VLOOKUP(RIGHT(B7,8),'Các bảng tham chiếu &amp; Thống kê'!$B$14:$C$52,2,0)</f>
        <v>Lê Hồng Quốc Vương</v>
      </c>
      <c r="D7" s="13">
        <f>VLOOKUP(RIGHT(B7,8),'Điểm thực hành các buổi'!$B$3:$D$41,3,0)</f>
        <v>0.5</v>
      </c>
      <c r="E7" s="13">
        <f>VLOOKUP(RIGHT(B7,8),'Điểm thực hành các buổi'!$B$3:$F$41,4,0)</f>
        <v>0.5</v>
      </c>
      <c r="F7" s="13">
        <f>VLOOKUP(RIGHT(B7,8),'Điểm thực hành các buổi'!$B$3:$F$41,5,0)</f>
        <v>0.5</v>
      </c>
      <c r="G7" s="13">
        <f>VLOOKUP(RIGHT(B7,8),'Điểm bài tập lớn'!$B$3:$F$41,3,0)</f>
        <v>1.5</v>
      </c>
      <c r="H7" s="13">
        <f>VLOOKUP(RIGHT(B7,8),'Điểm lý thuyết'!$B$3:$F$41,3,0)</f>
        <v>7.5</v>
      </c>
      <c r="I7" s="13">
        <f t="shared" si="0"/>
        <v>7.5</v>
      </c>
      <c r="J7" s="23">
        <f>IF(OR(G7 = 0,INT(LEFT(B7,1)) &gt; 2),0,ROUND(I7+VLOOKUP(INT(LEFT(B7,1)), 'Các bảng tham chiếu &amp; Thống kê'!$E$3:$F$5, 2, 0),1))</f>
        <v>8.5</v>
      </c>
      <c r="K7" s="13" t="str">
        <f>VLOOKUP(J7, 'Các bảng tham chiếu &amp; Thống kê'!$A$3:$B$10, 2, 1)</f>
        <v>B+</v>
      </c>
    </row>
    <row r="8" spans="1:11" ht="15.75" x14ac:dyDescent="0.2">
      <c r="A8" s="25">
        <v>24</v>
      </c>
      <c r="B8" s="16" t="s">
        <v>67</v>
      </c>
      <c r="C8" s="16" t="str">
        <f>VLOOKUP(RIGHT(B8,8),'Các bảng tham chiếu &amp; Thống kê'!$B$14:$C$52,2,0)</f>
        <v>Huỳnh Hoàng Ẩn</v>
      </c>
      <c r="D8" s="13">
        <f>VLOOKUP(RIGHT(B8,8),'Điểm thực hành các buổi'!$B$3:$D$41,3,0)</f>
        <v>0.45</v>
      </c>
      <c r="E8" s="13">
        <f>VLOOKUP(RIGHT(B8,8),'Điểm thực hành các buổi'!$B$3:$F$41,4,0)</f>
        <v>0.3</v>
      </c>
      <c r="F8" s="13">
        <f>VLOOKUP(RIGHT(B8,8),'Điểm thực hành các buổi'!$B$3:$F$41,5,0)</f>
        <v>0.45</v>
      </c>
      <c r="G8" s="13">
        <f>VLOOKUP(RIGHT(B8,8),'Điểm bài tập lớn'!$B$3:$F$41,3,0)</f>
        <v>1.2</v>
      </c>
      <c r="H8" s="13">
        <f>VLOOKUP(RIGHT(B8,8),'Điểm lý thuyết'!$B$3:$F$41,3,0)</f>
        <v>8.8000000000000007</v>
      </c>
      <c r="I8" s="13">
        <f t="shared" si="0"/>
        <v>7.7</v>
      </c>
      <c r="J8" s="23">
        <f>IF(OR(G8 = 0,INT(LEFT(B8,1)) &gt; 2),0,ROUND(I8+VLOOKUP(INT(LEFT(B8,1)), 'Các bảng tham chiếu &amp; Thống kê'!$E$3:$F$5, 2, 0),1))</f>
        <v>8</v>
      </c>
      <c r="K8" s="13" t="str">
        <f>VLOOKUP(J8, 'Các bảng tham chiếu &amp; Thống kê'!$A$3:$B$10, 2, 1)</f>
        <v>B+</v>
      </c>
    </row>
    <row r="9" spans="1:11" ht="15.75" x14ac:dyDescent="0.2">
      <c r="A9" s="25">
        <v>26</v>
      </c>
      <c r="B9" s="16" t="s">
        <v>69</v>
      </c>
      <c r="C9" s="16" t="str">
        <f>VLOOKUP(RIGHT(B9,8),'Các bảng tham chiếu &amp; Thống kê'!$B$14:$C$52,2,0)</f>
        <v>Đặng Trung Kiên</v>
      </c>
      <c r="D9" s="13">
        <f>VLOOKUP(RIGHT(B9,8),'Điểm thực hành các buổi'!$B$3:$D$41,3,0)</f>
        <v>0.5</v>
      </c>
      <c r="E9" s="13">
        <f>VLOOKUP(RIGHT(B9,8),'Điểm thực hành các buổi'!$B$3:$F$41,4,0)</f>
        <v>0.3</v>
      </c>
      <c r="F9" s="13">
        <f>VLOOKUP(RIGHT(B9,8),'Điểm thực hành các buổi'!$B$3:$F$41,5,0)</f>
        <v>0.45</v>
      </c>
      <c r="G9" s="13">
        <f>VLOOKUP(RIGHT(B9,8),'Điểm bài tập lớn'!$B$3:$F$41,3,0)</f>
        <v>1</v>
      </c>
      <c r="H9" s="13">
        <f>VLOOKUP(RIGHT(B9,8),'Điểm lý thuyết'!$B$3:$F$41,3,0)</f>
        <v>7.8</v>
      </c>
      <c r="I9" s="13">
        <f t="shared" si="0"/>
        <v>6.9</v>
      </c>
      <c r="J9" s="23">
        <f>IF(OR(G9 = 0,INT(LEFT(B9,1)) &gt; 2),0,ROUND(I9+VLOOKUP(INT(LEFT(B9,1)), 'Các bảng tham chiếu &amp; Thống kê'!$E$3:$F$5, 2, 0),1))</f>
        <v>7.9</v>
      </c>
      <c r="K9" s="13" t="str">
        <f>VLOOKUP(J9, 'Các bảng tham chiếu &amp; Thống kê'!$A$3:$B$10, 2, 1)</f>
        <v>B</v>
      </c>
    </row>
    <row r="10" spans="1:11" ht="15.75" x14ac:dyDescent="0.2">
      <c r="A10" s="25">
        <v>27</v>
      </c>
      <c r="B10" s="16" t="s">
        <v>70</v>
      </c>
      <c r="C10" s="16" t="str">
        <f>VLOOKUP(RIGHT(B10,8),'Các bảng tham chiếu &amp; Thống kê'!$B$14:$C$52,2,0)</f>
        <v>Ngụy Hữu Lộc</v>
      </c>
      <c r="D10" s="13">
        <f>VLOOKUP(RIGHT(B10,8),'Điểm thực hành các buổi'!$B$3:$D$41,3,0)</f>
        <v>0.5</v>
      </c>
      <c r="E10" s="13">
        <f>VLOOKUP(RIGHT(B10,8),'Điểm thực hành các buổi'!$B$3:$F$41,4,0)</f>
        <v>0.4</v>
      </c>
      <c r="F10" s="13">
        <f>VLOOKUP(RIGHT(B10,8),'Điểm thực hành các buổi'!$B$3:$F$41,5,0)</f>
        <v>0.45</v>
      </c>
      <c r="G10" s="13">
        <f>VLOOKUP(RIGHT(B10,8),'Điểm bài tập lớn'!$B$3:$F$41,3,0)</f>
        <v>1.5</v>
      </c>
      <c r="H10" s="13">
        <f>VLOOKUP(RIGHT(B10,8),'Điểm lý thuyết'!$B$3:$F$41,3,0)</f>
        <v>8.8000000000000007</v>
      </c>
      <c r="I10" s="13">
        <f t="shared" si="0"/>
        <v>8.1</v>
      </c>
      <c r="J10" s="23">
        <f>IF(OR(G10 = 0,INT(LEFT(B10,1)) &gt; 2),0,ROUND(I10+VLOOKUP(INT(LEFT(B10,1)), 'Các bảng tham chiếu &amp; Thống kê'!$E$3:$F$5, 2, 0),1))</f>
        <v>9.1</v>
      </c>
      <c r="K10" s="13" t="str">
        <f>VLOOKUP(J10, 'Các bảng tham chiếu &amp; Thống kê'!$A$3:$B$10, 2, 1)</f>
        <v>A</v>
      </c>
    </row>
    <row r="11" spans="1:11" ht="15.75" x14ac:dyDescent="0.2">
      <c r="A11" s="25">
        <v>28</v>
      </c>
      <c r="B11" s="16" t="s">
        <v>71</v>
      </c>
      <c r="C11" s="16" t="str">
        <f>VLOOKUP(RIGHT(B11,8),'Các bảng tham chiếu &amp; Thống kê'!$B$14:$C$52,2,0)</f>
        <v>Nguyễn Trà Mi</v>
      </c>
      <c r="D11" s="13">
        <f>VLOOKUP(RIGHT(B11,8),'Điểm thực hành các buổi'!$B$3:$D$41,3,0)</f>
        <v>0.5</v>
      </c>
      <c r="E11" s="13">
        <f>VLOOKUP(RIGHT(B11,8),'Điểm thực hành các buổi'!$B$3:$F$41,4,0)</f>
        <v>0.45</v>
      </c>
      <c r="F11" s="13">
        <f>VLOOKUP(RIGHT(B11,8),'Điểm thực hành các buổi'!$B$3:$F$41,5,0)</f>
        <v>0.45</v>
      </c>
      <c r="G11" s="13">
        <f>VLOOKUP(RIGHT(B11,8),'Điểm bài tập lớn'!$B$3:$F$41,3,0)</f>
        <v>1</v>
      </c>
      <c r="H11" s="13">
        <f>VLOOKUP(RIGHT(B11,8),'Điểm lý thuyết'!$B$3:$F$41,3,0)</f>
        <v>7.8</v>
      </c>
      <c r="I11" s="13">
        <f t="shared" si="0"/>
        <v>7.1</v>
      </c>
      <c r="J11" s="23">
        <f>IF(OR(G11 = 0,INT(LEFT(B11,1)) &gt; 2),0,ROUND(I11+VLOOKUP(INT(LEFT(B11,1)), 'Các bảng tham chiếu &amp; Thống kê'!$E$3:$F$5, 2, 0),1))</f>
        <v>8.1</v>
      </c>
      <c r="K11" s="13" t="str">
        <f>VLOOKUP(J11, 'Các bảng tham chiếu &amp; Thống kê'!$A$3:$B$10, 2, 1)</f>
        <v>B+</v>
      </c>
    </row>
    <row r="12" spans="1:11" ht="15.75" x14ac:dyDescent="0.2">
      <c r="A12" s="25">
        <v>31</v>
      </c>
      <c r="B12" s="16" t="s">
        <v>73</v>
      </c>
      <c r="C12" s="16" t="str">
        <f>VLOOKUP(RIGHT(B12,8),'Các bảng tham chiếu &amp; Thống kê'!$B$14:$C$52,2,0)</f>
        <v>Trần Thị Hoàng Quyên</v>
      </c>
      <c r="D12" s="13">
        <f>VLOOKUP(RIGHT(B12,8),'Điểm thực hành các buổi'!$B$3:$D$41,3,0)</f>
        <v>0.4</v>
      </c>
      <c r="E12" s="13">
        <f>VLOOKUP(RIGHT(B12,8),'Điểm thực hành các buổi'!$B$3:$F$41,4,0)</f>
        <v>0.5</v>
      </c>
      <c r="F12" s="13">
        <f>VLOOKUP(RIGHT(B12,8),'Điểm thực hành các buổi'!$B$3:$F$41,5,0)</f>
        <v>0.5</v>
      </c>
      <c r="G12" s="13">
        <f>VLOOKUP(RIGHT(B12,8),'Điểm bài tập lớn'!$B$3:$F$41,3,0)</f>
        <v>1</v>
      </c>
      <c r="H12" s="13">
        <f>VLOOKUP(RIGHT(B12,8),'Điểm lý thuyết'!$B$3:$F$41,3,0)</f>
        <v>9.1999999999999993</v>
      </c>
      <c r="I12" s="13">
        <f t="shared" si="0"/>
        <v>7.9</v>
      </c>
      <c r="J12" s="23">
        <f>IF(OR(G12 = 0,INT(LEFT(B12,1)) &gt; 2),0,ROUND(I12+VLOOKUP(INT(LEFT(B12,1)), 'Các bảng tham chiếu &amp; Thống kê'!$E$3:$F$5, 2, 0),1))</f>
        <v>8.9</v>
      </c>
      <c r="K12" s="13" t="str">
        <f>VLOOKUP(J12, 'Các bảng tham chiếu &amp; Thống kê'!$A$3:$B$10, 2, 1)</f>
        <v>B+</v>
      </c>
    </row>
    <row r="13" spans="1:11" ht="15.75" x14ac:dyDescent="0.2">
      <c r="A13" s="25">
        <v>32</v>
      </c>
      <c r="B13" s="16" t="s">
        <v>74</v>
      </c>
      <c r="C13" s="16" t="str">
        <f>VLOOKUP(RIGHT(B13,8),'Các bảng tham chiếu &amp; Thống kê'!$B$14:$C$52,2,0)</f>
        <v>Trương Quốc Thái</v>
      </c>
      <c r="D13" s="13">
        <f>VLOOKUP(RIGHT(B13,8),'Điểm thực hành các buổi'!$B$3:$D$41,3,0)</f>
        <v>0.4</v>
      </c>
      <c r="E13" s="13">
        <f>VLOOKUP(RIGHT(B13,8),'Điểm thực hành các buổi'!$B$3:$F$41,4,0)</f>
        <v>0.4</v>
      </c>
      <c r="F13" s="13">
        <f>VLOOKUP(RIGHT(B13,8),'Điểm thực hành các buổi'!$B$3:$F$41,5,0)</f>
        <v>0.45</v>
      </c>
      <c r="G13" s="13">
        <f>VLOOKUP(RIGHT(B13,8),'Điểm bài tập lớn'!$B$3:$F$41,3,0)</f>
        <v>1</v>
      </c>
      <c r="H13" s="13">
        <f>VLOOKUP(RIGHT(B13,8),'Điểm lý thuyết'!$B$3:$F$41,3,0)</f>
        <v>7.5</v>
      </c>
      <c r="I13" s="13">
        <f t="shared" si="0"/>
        <v>6.8</v>
      </c>
      <c r="J13" s="23">
        <f>IF(OR(G13 = 0,INT(LEFT(B13,1)) &gt; 2),0,ROUND(I13+VLOOKUP(INT(LEFT(B13,1)), 'Các bảng tham chiếu &amp; Thống kê'!$E$3:$F$5, 2, 0),1))</f>
        <v>7.8</v>
      </c>
      <c r="K13" s="13" t="str">
        <f>VLOOKUP(J13, 'Các bảng tham chiếu &amp; Thống kê'!$A$3:$B$10, 2, 1)</f>
        <v>B</v>
      </c>
    </row>
    <row r="14" spans="1:11" ht="15.75" x14ac:dyDescent="0.2">
      <c r="A14" s="25">
        <v>34</v>
      </c>
      <c r="B14" s="16" t="s">
        <v>76</v>
      </c>
      <c r="C14" s="16" t="str">
        <f>VLOOKUP(RIGHT(B14,8),'Các bảng tham chiếu &amp; Thống kê'!$B$14:$C$52,2,0)</f>
        <v>Nguyễn Chí Tôn</v>
      </c>
      <c r="D14" s="13">
        <f>VLOOKUP(RIGHT(B14,8),'Điểm thực hành các buổi'!$B$3:$D$41,3,0)</f>
        <v>0.4</v>
      </c>
      <c r="E14" s="13">
        <f>VLOOKUP(RIGHT(B14,8),'Điểm thực hành các buổi'!$B$3:$F$41,4,0)</f>
        <v>0</v>
      </c>
      <c r="F14" s="13">
        <f>VLOOKUP(RIGHT(B14,8),'Điểm thực hành các buổi'!$B$3:$F$41,5,0)</f>
        <v>0.45</v>
      </c>
      <c r="G14" s="13">
        <f>VLOOKUP(RIGHT(B14,8),'Điểm bài tập lớn'!$B$3:$F$41,3,0)</f>
        <v>0.75</v>
      </c>
      <c r="H14" s="13">
        <f>VLOOKUP(RIGHT(B14,8),'Điểm lý thuyết'!$B$3:$F$41,3,0)</f>
        <v>8.3000000000000007</v>
      </c>
      <c r="I14" s="13">
        <f t="shared" si="0"/>
        <v>6.6</v>
      </c>
      <c r="J14" s="23">
        <f>IF(OR(G14 = 0,INT(LEFT(B14,1)) &gt; 2),0,ROUND(I14+VLOOKUP(INT(LEFT(B14,1)), 'Các bảng tham chiếu &amp; Thống kê'!$E$3:$F$5, 2, 0),1))</f>
        <v>7.1</v>
      </c>
      <c r="K14" s="13" t="str">
        <f>VLOOKUP(J14, 'Các bảng tham chiếu &amp; Thống kê'!$A$3:$B$10, 2, 1)</f>
        <v>B</v>
      </c>
    </row>
  </sheetData>
  <conditionalFormatting sqref="J2:K14">
    <cfRule type="cellIs" dxfId="1" priority="1" operator="less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  <vt:lpstr>'Các bảng tham chiếu &amp; Thống kê'!Criteria</vt:lpstr>
      <vt:lpstr>'Các bảng tham chiếu &amp; Thống kê'!Extract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2021-06-18T08:44:47Z</dcterms:created>
  <dcterms:modified xsi:type="dcterms:W3CDTF">2026-01-29T03:26:43Z</dcterms:modified>
  <cp:category/>
</cp:coreProperties>
</file>